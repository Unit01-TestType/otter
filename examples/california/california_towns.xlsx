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mc:AlternateContent xmlns:mc="http://schemas.openxmlformats.org/markup-compatibility/2006">
    <mc:Choice Requires="x15">
      <x15ac:absPath xmlns:x15ac="http://schemas.microsoft.com/office/spreadsheetml/2010/11/ac" url="D:\Desktop\Programs and Data\openttd\california\California-3.0\"/>
    </mc:Choice>
  </mc:AlternateContent>
  <xr:revisionPtr revIDLastSave="0" documentId="13_ncr:1_{BD7B0B09-1E25-49CC-B7CF-A8C1800885FA}" xr6:coauthVersionLast="47" xr6:coauthVersionMax="47" xr10:uidLastSave="{00000000-0000-0000-0000-000000000000}"/>
  <bookViews>
    <workbookView xWindow="23880" yWindow="-120" windowWidth="21840" windowHeight="131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0" i="1" l="1" a="1"/>
  <c r="E200" i="1" s="1"/>
  <c r="I200" i="1" a="1"/>
  <c r="I200" i="1" s="1"/>
  <c r="J200" i="1" a="1"/>
  <c r="J200" i="1" s="1"/>
  <c r="I222" i="1" a="1"/>
  <c r="I222" i="1" s="1"/>
  <c r="J222" i="1" a="1"/>
  <c r="J222" i="1" s="1"/>
  <c r="E222" i="1" a="1"/>
  <c r="E222" i="1" s="1"/>
  <c r="H222" i="1" s="1"/>
  <c r="I3" i="1" a="1"/>
  <c r="I3" i="1" s="1"/>
  <c r="J3" i="1" a="1"/>
  <c r="J3" i="1" s="1"/>
  <c r="I4" i="1" a="1"/>
  <c r="I4" i="1" s="1"/>
  <c r="J4" i="1" a="1"/>
  <c r="J4" i="1" s="1"/>
  <c r="I5" i="1" a="1"/>
  <c r="I5" i="1" s="1"/>
  <c r="J5" i="1" a="1"/>
  <c r="J5" i="1" s="1"/>
  <c r="I6" i="1" a="1"/>
  <c r="I6" i="1" s="1"/>
  <c r="J6" i="1" a="1"/>
  <c r="J6" i="1" s="1"/>
  <c r="I7" i="1" a="1"/>
  <c r="I7" i="1" s="1"/>
  <c r="J7" i="1" a="1"/>
  <c r="J7" i="1" s="1"/>
  <c r="I8" i="1" a="1"/>
  <c r="I8" i="1" s="1"/>
  <c r="J8" i="1" a="1"/>
  <c r="J8" i="1" s="1"/>
  <c r="I9" i="1" a="1"/>
  <c r="I9" i="1" s="1"/>
  <c r="J9" i="1" a="1"/>
  <c r="J9" i="1" s="1"/>
  <c r="I10" i="1" a="1"/>
  <c r="I10" i="1" s="1"/>
  <c r="J10" i="1" a="1"/>
  <c r="J10" i="1" s="1"/>
  <c r="I11" i="1" a="1"/>
  <c r="I11" i="1" s="1"/>
  <c r="J11" i="1" a="1"/>
  <c r="J11" i="1" s="1"/>
  <c r="I12" i="1" a="1"/>
  <c r="I12" i="1" s="1"/>
  <c r="J12" i="1" a="1"/>
  <c r="J12" i="1" s="1"/>
  <c r="I13" i="1" a="1"/>
  <c r="I13" i="1" s="1"/>
  <c r="J13" i="1" a="1"/>
  <c r="J13" i="1" s="1"/>
  <c r="I14" i="1" a="1"/>
  <c r="I14" i="1" s="1"/>
  <c r="J14" i="1" a="1"/>
  <c r="J14" i="1" s="1"/>
  <c r="I15" i="1" a="1"/>
  <c r="I15" i="1" s="1"/>
  <c r="J15" i="1" a="1"/>
  <c r="J15" i="1" s="1"/>
  <c r="I16" i="1" a="1"/>
  <c r="I16" i="1" s="1"/>
  <c r="J16" i="1" a="1"/>
  <c r="J16" i="1" s="1"/>
  <c r="I17" i="1" a="1"/>
  <c r="I17" i="1" s="1"/>
  <c r="J17" i="1" a="1"/>
  <c r="J17" i="1" s="1"/>
  <c r="I18" i="1" a="1"/>
  <c r="I18" i="1" s="1"/>
  <c r="J18" i="1" a="1"/>
  <c r="J18" i="1" s="1"/>
  <c r="I19" i="1" a="1"/>
  <c r="I19" i="1" s="1"/>
  <c r="J19" i="1" a="1"/>
  <c r="J19" i="1" s="1"/>
  <c r="I20" i="1" a="1"/>
  <c r="I20" i="1" s="1"/>
  <c r="J20" i="1" a="1"/>
  <c r="J20" i="1" s="1"/>
  <c r="I21" i="1" a="1"/>
  <c r="I21" i="1" s="1"/>
  <c r="J21" i="1" a="1"/>
  <c r="J21" i="1" s="1"/>
  <c r="I22" i="1" a="1"/>
  <c r="I22" i="1" s="1"/>
  <c r="J22" i="1" a="1"/>
  <c r="J22" i="1" s="1"/>
  <c r="I23" i="1" a="1"/>
  <c r="I23" i="1" s="1"/>
  <c r="J23" i="1" a="1"/>
  <c r="J23" i="1" s="1"/>
  <c r="I24" i="1" a="1"/>
  <c r="I24" i="1" s="1"/>
  <c r="J24" i="1" a="1"/>
  <c r="J24" i="1" s="1"/>
  <c r="I25" i="1" a="1"/>
  <c r="I25" i="1" s="1"/>
  <c r="J25" i="1" a="1"/>
  <c r="J25" i="1" s="1"/>
  <c r="I26" i="1" a="1"/>
  <c r="I26" i="1" s="1"/>
  <c r="J26" i="1" a="1"/>
  <c r="J26" i="1" s="1"/>
  <c r="I27" i="1" a="1"/>
  <c r="I27" i="1" s="1"/>
  <c r="J27" i="1" a="1"/>
  <c r="J27" i="1" s="1"/>
  <c r="I28" i="1" a="1"/>
  <c r="I28" i="1" s="1"/>
  <c r="J28" i="1" a="1"/>
  <c r="J28" i="1" s="1"/>
  <c r="I29" i="1" a="1"/>
  <c r="I29" i="1" s="1"/>
  <c r="J29" i="1" a="1"/>
  <c r="J29" i="1" s="1"/>
  <c r="I30" i="1" a="1"/>
  <c r="I30" i="1" s="1"/>
  <c r="J30" i="1" a="1"/>
  <c r="J30" i="1" s="1"/>
  <c r="I31" i="1" a="1"/>
  <c r="I31" i="1" s="1"/>
  <c r="J31" i="1" a="1"/>
  <c r="J31" i="1" s="1"/>
  <c r="I32" i="1" a="1"/>
  <c r="I32" i="1" s="1"/>
  <c r="J32" i="1" a="1"/>
  <c r="J32" i="1" s="1"/>
  <c r="I33" i="1" a="1"/>
  <c r="I33" i="1" s="1"/>
  <c r="J33" i="1" a="1"/>
  <c r="J33" i="1" s="1"/>
  <c r="I34" i="1" a="1"/>
  <c r="I34" i="1" s="1"/>
  <c r="J34" i="1" a="1"/>
  <c r="J34" i="1" s="1"/>
  <c r="I35" i="1" a="1"/>
  <c r="I35" i="1" s="1"/>
  <c r="J35" i="1" a="1"/>
  <c r="J35" i="1" s="1"/>
  <c r="I36" i="1" a="1"/>
  <c r="I36" i="1" s="1"/>
  <c r="J36" i="1" a="1"/>
  <c r="J36" i="1" s="1"/>
  <c r="I37" i="1" a="1"/>
  <c r="I37" i="1" s="1"/>
  <c r="J37" i="1" a="1"/>
  <c r="J37" i="1" s="1"/>
  <c r="I38" i="1" a="1"/>
  <c r="I38" i="1" s="1"/>
  <c r="J38" i="1" a="1"/>
  <c r="J38" i="1" s="1"/>
  <c r="I39" i="1" a="1"/>
  <c r="I39" i="1" s="1"/>
  <c r="J39" i="1" a="1"/>
  <c r="J39" i="1" s="1"/>
  <c r="I40" i="1" a="1"/>
  <c r="I40" i="1" s="1"/>
  <c r="J40" i="1" a="1"/>
  <c r="J40" i="1" s="1"/>
  <c r="I41" i="1" a="1"/>
  <c r="I41" i="1" s="1"/>
  <c r="J41" i="1" a="1"/>
  <c r="J41" i="1" s="1"/>
  <c r="I42" i="1" a="1"/>
  <c r="I42" i="1" s="1"/>
  <c r="J42" i="1" a="1"/>
  <c r="J42" i="1" s="1"/>
  <c r="I43" i="1" a="1"/>
  <c r="I43" i="1" s="1"/>
  <c r="J43" i="1" a="1"/>
  <c r="J43" i="1" s="1"/>
  <c r="I44" i="1" a="1"/>
  <c r="I44" i="1" s="1"/>
  <c r="J44" i="1" a="1"/>
  <c r="J44" i="1" s="1"/>
  <c r="I45" i="1" a="1"/>
  <c r="I45" i="1" s="1"/>
  <c r="J45" i="1" a="1"/>
  <c r="J45" i="1" s="1"/>
  <c r="I46" i="1" a="1"/>
  <c r="I46" i="1" s="1"/>
  <c r="J46" i="1" a="1"/>
  <c r="J46" i="1" s="1"/>
  <c r="I47" i="1" a="1"/>
  <c r="I47" i="1" s="1"/>
  <c r="J47" i="1" a="1"/>
  <c r="J47" i="1" s="1"/>
  <c r="I48" i="1" a="1"/>
  <c r="I48" i="1" s="1"/>
  <c r="J48" i="1" a="1"/>
  <c r="J48" i="1" s="1"/>
  <c r="I49" i="1" a="1"/>
  <c r="I49" i="1" s="1"/>
  <c r="J49" i="1" a="1"/>
  <c r="J49" i="1" s="1"/>
  <c r="I50" i="1" a="1"/>
  <c r="I50" i="1" s="1"/>
  <c r="J50" i="1" a="1"/>
  <c r="J50" i="1" s="1"/>
  <c r="I51" i="1" a="1"/>
  <c r="I51" i="1" s="1"/>
  <c r="J51" i="1" a="1"/>
  <c r="J51" i="1" s="1"/>
  <c r="I52" i="1" a="1"/>
  <c r="I52" i="1" s="1"/>
  <c r="J52" i="1" a="1"/>
  <c r="J52" i="1" s="1"/>
  <c r="I53" i="1" a="1"/>
  <c r="I53" i="1" s="1"/>
  <c r="J53" i="1" a="1"/>
  <c r="J53" i="1" s="1"/>
  <c r="I54" i="1" a="1"/>
  <c r="I54" i="1" s="1"/>
  <c r="J54" i="1" a="1"/>
  <c r="J54" i="1" s="1"/>
  <c r="I55" i="1" a="1"/>
  <c r="I55" i="1" s="1"/>
  <c r="J55" i="1" a="1"/>
  <c r="J55" i="1" s="1"/>
  <c r="I56" i="1" a="1"/>
  <c r="I56" i="1" s="1"/>
  <c r="J56" i="1" a="1"/>
  <c r="J56" i="1" s="1"/>
  <c r="I57" i="1" a="1"/>
  <c r="I57" i="1" s="1"/>
  <c r="J57" i="1" a="1"/>
  <c r="J57" i="1" s="1"/>
  <c r="I58" i="1" a="1"/>
  <c r="I58" i="1" s="1"/>
  <c r="J58" i="1" a="1"/>
  <c r="J58" i="1" s="1"/>
  <c r="I59" i="1" a="1"/>
  <c r="I59" i="1" s="1"/>
  <c r="J59" i="1" a="1"/>
  <c r="J59" i="1" s="1"/>
  <c r="I60" i="1" a="1"/>
  <c r="I60" i="1" s="1"/>
  <c r="J60" i="1" a="1"/>
  <c r="J60" i="1" s="1"/>
  <c r="I61" i="1" a="1"/>
  <c r="I61" i="1" s="1"/>
  <c r="J61" i="1" a="1"/>
  <c r="J61" i="1" s="1"/>
  <c r="I62" i="1" a="1"/>
  <c r="I62" i="1" s="1"/>
  <c r="J62" i="1" a="1"/>
  <c r="J62" i="1" s="1"/>
  <c r="I63" i="1" a="1"/>
  <c r="I63" i="1" s="1"/>
  <c r="J63" i="1" a="1"/>
  <c r="J63" i="1" s="1"/>
  <c r="I64" i="1" a="1"/>
  <c r="I64" i="1" s="1"/>
  <c r="J64" i="1" a="1"/>
  <c r="J64" i="1" s="1"/>
  <c r="I65" i="1" a="1"/>
  <c r="I65" i="1" s="1"/>
  <c r="J65" i="1" a="1"/>
  <c r="J65" i="1" s="1"/>
  <c r="I66" i="1" a="1"/>
  <c r="I66" i="1" s="1"/>
  <c r="J66" i="1" a="1"/>
  <c r="J66" i="1" s="1"/>
  <c r="I67" i="1" a="1"/>
  <c r="I67" i="1" s="1"/>
  <c r="J67" i="1" a="1"/>
  <c r="J67" i="1" s="1"/>
  <c r="I68" i="1" a="1"/>
  <c r="I68" i="1" s="1"/>
  <c r="J68" i="1" a="1"/>
  <c r="J68" i="1" s="1"/>
  <c r="I69" i="1" a="1"/>
  <c r="I69" i="1" s="1"/>
  <c r="J69" i="1" a="1"/>
  <c r="J69" i="1" s="1"/>
  <c r="I70" i="1" a="1"/>
  <c r="I70" i="1" s="1"/>
  <c r="J70" i="1" a="1"/>
  <c r="J70" i="1" s="1"/>
  <c r="I71" i="1" a="1"/>
  <c r="I71" i="1" s="1"/>
  <c r="J71" i="1" a="1"/>
  <c r="J71" i="1" s="1"/>
  <c r="I72" i="1" a="1"/>
  <c r="I72" i="1" s="1"/>
  <c r="J72" i="1" a="1"/>
  <c r="J72" i="1" s="1"/>
  <c r="I73" i="1" a="1"/>
  <c r="I73" i="1" s="1"/>
  <c r="J73" i="1" a="1"/>
  <c r="J73" i="1" s="1"/>
  <c r="I74" i="1" a="1"/>
  <c r="I74" i="1" s="1"/>
  <c r="J74" i="1" a="1"/>
  <c r="J74" i="1" s="1"/>
  <c r="I75" i="1" a="1"/>
  <c r="I75" i="1" s="1"/>
  <c r="J75" i="1" a="1"/>
  <c r="J75" i="1" s="1"/>
  <c r="I76" i="1" a="1"/>
  <c r="I76" i="1" s="1"/>
  <c r="J76" i="1" a="1"/>
  <c r="J76" i="1" s="1"/>
  <c r="I77" i="1" a="1"/>
  <c r="I77" i="1" s="1"/>
  <c r="J77" i="1" a="1"/>
  <c r="J77" i="1" s="1"/>
  <c r="I78" i="1" a="1"/>
  <c r="I78" i="1" s="1"/>
  <c r="J78" i="1" a="1"/>
  <c r="J78" i="1" s="1"/>
  <c r="I79" i="1" a="1"/>
  <c r="I79" i="1" s="1"/>
  <c r="J79" i="1" a="1"/>
  <c r="J79" i="1" s="1"/>
  <c r="I80" i="1" a="1"/>
  <c r="I80" i="1" s="1"/>
  <c r="J80" i="1" a="1"/>
  <c r="J80" i="1" s="1"/>
  <c r="I81" i="1" a="1"/>
  <c r="I81" i="1" s="1"/>
  <c r="J81" i="1" a="1"/>
  <c r="J81" i="1" s="1"/>
  <c r="I82" i="1" a="1"/>
  <c r="I82" i="1" s="1"/>
  <c r="J82" i="1" a="1"/>
  <c r="J82" i="1" s="1"/>
  <c r="I83" i="1" a="1"/>
  <c r="I83" i="1" s="1"/>
  <c r="J83" i="1" a="1"/>
  <c r="J83" i="1" s="1"/>
  <c r="I84" i="1" a="1"/>
  <c r="I84" i="1" s="1"/>
  <c r="J84" i="1" a="1"/>
  <c r="J84" i="1" s="1"/>
  <c r="I85" i="1" a="1"/>
  <c r="I85" i="1" s="1"/>
  <c r="J85" i="1" a="1"/>
  <c r="J85" i="1" s="1"/>
  <c r="I86" i="1" a="1"/>
  <c r="I86" i="1" s="1"/>
  <c r="J86" i="1" a="1"/>
  <c r="J86" i="1" s="1"/>
  <c r="I87" i="1" a="1"/>
  <c r="I87" i="1" s="1"/>
  <c r="J87" i="1" a="1"/>
  <c r="J87" i="1" s="1"/>
  <c r="I88" i="1" a="1"/>
  <c r="I88" i="1" s="1"/>
  <c r="J88" i="1" a="1"/>
  <c r="J88" i="1" s="1"/>
  <c r="I89" i="1" a="1"/>
  <c r="I89" i="1" s="1"/>
  <c r="J89" i="1" a="1"/>
  <c r="J89" i="1" s="1"/>
  <c r="I90" i="1" a="1"/>
  <c r="I90" i="1" s="1"/>
  <c r="J90" i="1" a="1"/>
  <c r="J90" i="1" s="1"/>
  <c r="I91" i="1" a="1"/>
  <c r="I91" i="1" s="1"/>
  <c r="J91" i="1" a="1"/>
  <c r="J91" i="1" s="1"/>
  <c r="I92" i="1" a="1"/>
  <c r="I92" i="1" s="1"/>
  <c r="J92" i="1" a="1"/>
  <c r="J92" i="1" s="1"/>
  <c r="I93" i="1" a="1"/>
  <c r="I93" i="1" s="1"/>
  <c r="J93" i="1" a="1"/>
  <c r="J93" i="1" s="1"/>
  <c r="I94" i="1" a="1"/>
  <c r="I94" i="1" s="1"/>
  <c r="J94" i="1" a="1"/>
  <c r="J94" i="1" s="1"/>
  <c r="I95" i="1" a="1"/>
  <c r="I95" i="1" s="1"/>
  <c r="J95" i="1" a="1"/>
  <c r="J95" i="1" s="1"/>
  <c r="I96" i="1" a="1"/>
  <c r="I96" i="1" s="1"/>
  <c r="J96" i="1" a="1"/>
  <c r="J96" i="1" s="1"/>
  <c r="I97" i="1" a="1"/>
  <c r="I97" i="1" s="1"/>
  <c r="J97" i="1" a="1"/>
  <c r="J97" i="1" s="1"/>
  <c r="I98" i="1" a="1"/>
  <c r="I98" i="1" s="1"/>
  <c r="J98" i="1" a="1"/>
  <c r="J98" i="1" s="1"/>
  <c r="I99" i="1" a="1"/>
  <c r="I99" i="1" s="1"/>
  <c r="J99" i="1" a="1"/>
  <c r="J99" i="1" s="1"/>
  <c r="I100" i="1" a="1"/>
  <c r="I100" i="1" s="1"/>
  <c r="J100" i="1" a="1"/>
  <c r="J100" i="1" s="1"/>
  <c r="I101" i="1" a="1"/>
  <c r="I101" i="1" s="1"/>
  <c r="J101" i="1" a="1"/>
  <c r="J101" i="1" s="1"/>
  <c r="I102" i="1" a="1"/>
  <c r="I102" i="1" s="1"/>
  <c r="J102" i="1" a="1"/>
  <c r="J102" i="1" s="1"/>
  <c r="I103" i="1" a="1"/>
  <c r="I103" i="1" s="1"/>
  <c r="J103" i="1" a="1"/>
  <c r="J103" i="1" s="1"/>
  <c r="I104" i="1" a="1"/>
  <c r="I104" i="1" s="1"/>
  <c r="J104" i="1" a="1"/>
  <c r="J104" i="1" s="1"/>
  <c r="I105" i="1" a="1"/>
  <c r="I105" i="1" s="1"/>
  <c r="J105" i="1" a="1"/>
  <c r="J105" i="1" s="1"/>
  <c r="I106" i="1" a="1"/>
  <c r="I106" i="1" s="1"/>
  <c r="J106" i="1" a="1"/>
  <c r="J106" i="1" s="1"/>
  <c r="I107" i="1" a="1"/>
  <c r="I107" i="1" s="1"/>
  <c r="J107" i="1" a="1"/>
  <c r="J107" i="1" s="1"/>
  <c r="I108" i="1" a="1"/>
  <c r="I108" i="1" s="1"/>
  <c r="J108" i="1" a="1"/>
  <c r="J108" i="1" s="1"/>
  <c r="I109" i="1" a="1"/>
  <c r="I109" i="1" s="1"/>
  <c r="J109" i="1" a="1"/>
  <c r="J109" i="1" s="1"/>
  <c r="I110" i="1" a="1"/>
  <c r="I110" i="1" s="1"/>
  <c r="J110" i="1" a="1"/>
  <c r="J110" i="1" s="1"/>
  <c r="I111" i="1" a="1"/>
  <c r="I111" i="1" s="1"/>
  <c r="J111" i="1" a="1"/>
  <c r="J111" i="1" s="1"/>
  <c r="I112" i="1" a="1"/>
  <c r="I112" i="1" s="1"/>
  <c r="J112" i="1" a="1"/>
  <c r="J112" i="1" s="1"/>
  <c r="I113" i="1" a="1"/>
  <c r="I113" i="1" s="1"/>
  <c r="J113" i="1" a="1"/>
  <c r="J113" i="1" s="1"/>
  <c r="I114" i="1" a="1"/>
  <c r="I114" i="1" s="1"/>
  <c r="J114" i="1" a="1"/>
  <c r="J114" i="1" s="1"/>
  <c r="I115" i="1" a="1"/>
  <c r="I115" i="1" s="1"/>
  <c r="J115" i="1" a="1"/>
  <c r="J115" i="1" s="1"/>
  <c r="I116" i="1" a="1"/>
  <c r="I116" i="1" s="1"/>
  <c r="J116" i="1" a="1"/>
  <c r="J116" i="1" s="1"/>
  <c r="I117" i="1" a="1"/>
  <c r="I117" i="1" s="1"/>
  <c r="J117" i="1" a="1"/>
  <c r="J117" i="1" s="1"/>
  <c r="I118" i="1" a="1"/>
  <c r="I118" i="1" s="1"/>
  <c r="J118" i="1" a="1"/>
  <c r="J118" i="1" s="1"/>
  <c r="I119" i="1" a="1"/>
  <c r="I119" i="1" s="1"/>
  <c r="J119" i="1" a="1"/>
  <c r="J119" i="1" s="1"/>
  <c r="I120" i="1" a="1"/>
  <c r="I120" i="1" s="1"/>
  <c r="J120" i="1" a="1"/>
  <c r="J120" i="1" s="1"/>
  <c r="I121" i="1" a="1"/>
  <c r="I121" i="1" s="1"/>
  <c r="J121" i="1" a="1"/>
  <c r="J121" i="1" s="1"/>
  <c r="I122" i="1" a="1"/>
  <c r="I122" i="1" s="1"/>
  <c r="J122" i="1" a="1"/>
  <c r="J122" i="1" s="1"/>
  <c r="I123" i="1" a="1"/>
  <c r="I123" i="1" s="1"/>
  <c r="J123" i="1" a="1"/>
  <c r="J123" i="1" s="1"/>
  <c r="I124" i="1" a="1"/>
  <c r="I124" i="1" s="1"/>
  <c r="J124" i="1" a="1"/>
  <c r="J124" i="1" s="1"/>
  <c r="I125" i="1" a="1"/>
  <c r="I125" i="1" s="1"/>
  <c r="J125" i="1" a="1"/>
  <c r="J125" i="1" s="1"/>
  <c r="I126" i="1" a="1"/>
  <c r="I126" i="1" s="1"/>
  <c r="J126" i="1" a="1"/>
  <c r="J126" i="1" s="1"/>
  <c r="I127" i="1" a="1"/>
  <c r="I127" i="1" s="1"/>
  <c r="J127" i="1" a="1"/>
  <c r="J127" i="1" s="1"/>
  <c r="I128" i="1" a="1"/>
  <c r="I128" i="1" s="1"/>
  <c r="J128" i="1" a="1"/>
  <c r="J128" i="1" s="1"/>
  <c r="I129" i="1" a="1"/>
  <c r="I129" i="1" s="1"/>
  <c r="J129" i="1" a="1"/>
  <c r="J129" i="1" s="1"/>
  <c r="I130" i="1" a="1"/>
  <c r="I130" i="1" s="1"/>
  <c r="J130" i="1" a="1"/>
  <c r="J130" i="1" s="1"/>
  <c r="I131" i="1" a="1"/>
  <c r="I131" i="1" s="1"/>
  <c r="J131" i="1" a="1"/>
  <c r="J131" i="1" s="1"/>
  <c r="I132" i="1" a="1"/>
  <c r="I132" i="1" s="1"/>
  <c r="J132" i="1" a="1"/>
  <c r="J132" i="1" s="1"/>
  <c r="I133" i="1" a="1"/>
  <c r="I133" i="1" s="1"/>
  <c r="J133" i="1" a="1"/>
  <c r="J133" i="1" s="1"/>
  <c r="I134" i="1" a="1"/>
  <c r="I134" i="1" s="1"/>
  <c r="J134" i="1" a="1"/>
  <c r="J134" i="1" s="1"/>
  <c r="I135" i="1" a="1"/>
  <c r="I135" i="1" s="1"/>
  <c r="J135" i="1" a="1"/>
  <c r="J135" i="1" s="1"/>
  <c r="I136" i="1" a="1"/>
  <c r="I136" i="1" s="1"/>
  <c r="J136" i="1" a="1"/>
  <c r="J136" i="1" s="1"/>
  <c r="I137" i="1" a="1"/>
  <c r="I137" i="1" s="1"/>
  <c r="J137" i="1" a="1"/>
  <c r="J137" i="1" s="1"/>
  <c r="I138" i="1" a="1"/>
  <c r="I138" i="1" s="1"/>
  <c r="J138" i="1" a="1"/>
  <c r="J138" i="1" s="1"/>
  <c r="I139" i="1" a="1"/>
  <c r="I139" i="1" s="1"/>
  <c r="J139" i="1" a="1"/>
  <c r="J139" i="1" s="1"/>
  <c r="I140" i="1" a="1"/>
  <c r="I140" i="1" s="1"/>
  <c r="J140" i="1" a="1"/>
  <c r="J140" i="1" s="1"/>
  <c r="I141" i="1" a="1"/>
  <c r="I141" i="1" s="1"/>
  <c r="J141" i="1" a="1"/>
  <c r="J141" i="1" s="1"/>
  <c r="I142" i="1" a="1"/>
  <c r="I142" i="1" s="1"/>
  <c r="J142" i="1" a="1"/>
  <c r="J142" i="1" s="1"/>
  <c r="I143" i="1" a="1"/>
  <c r="I143" i="1" s="1"/>
  <c r="J143" i="1" a="1"/>
  <c r="J143" i="1" s="1"/>
  <c r="I144" i="1" a="1"/>
  <c r="I144" i="1" s="1"/>
  <c r="J144" i="1" a="1"/>
  <c r="J144" i="1" s="1"/>
  <c r="I145" i="1" a="1"/>
  <c r="I145" i="1" s="1"/>
  <c r="J145" i="1" a="1"/>
  <c r="J145" i="1" s="1"/>
  <c r="I146" i="1" a="1"/>
  <c r="I146" i="1" s="1"/>
  <c r="J146" i="1" a="1"/>
  <c r="J146" i="1" s="1"/>
  <c r="I147" i="1" a="1"/>
  <c r="I147" i="1" s="1"/>
  <c r="J147" i="1" a="1"/>
  <c r="J147" i="1" s="1"/>
  <c r="I148" i="1" a="1"/>
  <c r="I148" i="1" s="1"/>
  <c r="J148" i="1" a="1"/>
  <c r="J148" i="1" s="1"/>
  <c r="I149" i="1" a="1"/>
  <c r="I149" i="1" s="1"/>
  <c r="J149" i="1" a="1"/>
  <c r="J149" i="1" s="1"/>
  <c r="I150" i="1" a="1"/>
  <c r="I150" i="1" s="1"/>
  <c r="J150" i="1" a="1"/>
  <c r="J150" i="1" s="1"/>
  <c r="I151" i="1" a="1"/>
  <c r="I151" i="1" s="1"/>
  <c r="J151" i="1" a="1"/>
  <c r="J151" i="1" s="1"/>
  <c r="I152" i="1" a="1"/>
  <c r="I152" i="1" s="1"/>
  <c r="J152" i="1" a="1"/>
  <c r="J152" i="1" s="1"/>
  <c r="I153" i="1" a="1"/>
  <c r="I153" i="1" s="1"/>
  <c r="J153" i="1" a="1"/>
  <c r="J153" i="1" s="1"/>
  <c r="I154" i="1" a="1"/>
  <c r="I154" i="1" s="1"/>
  <c r="J154" i="1" a="1"/>
  <c r="J154" i="1" s="1"/>
  <c r="I155" i="1" a="1"/>
  <c r="I155" i="1" s="1"/>
  <c r="J155" i="1" a="1"/>
  <c r="J155" i="1" s="1"/>
  <c r="I156" i="1" a="1"/>
  <c r="I156" i="1" s="1"/>
  <c r="J156" i="1" a="1"/>
  <c r="J156" i="1" s="1"/>
  <c r="I157" i="1" a="1"/>
  <c r="I157" i="1" s="1"/>
  <c r="J157" i="1" a="1"/>
  <c r="J157" i="1" s="1"/>
  <c r="I158" i="1" a="1"/>
  <c r="I158" i="1" s="1"/>
  <c r="J158" i="1" a="1"/>
  <c r="J158" i="1" s="1"/>
  <c r="I159" i="1" a="1"/>
  <c r="I159" i="1" s="1"/>
  <c r="J159" i="1" a="1"/>
  <c r="J159" i="1" s="1"/>
  <c r="I160" i="1" a="1"/>
  <c r="I160" i="1" s="1"/>
  <c r="J160" i="1" a="1"/>
  <c r="J160" i="1" s="1"/>
  <c r="I161" i="1" a="1"/>
  <c r="I161" i="1" s="1"/>
  <c r="J161" i="1" a="1"/>
  <c r="J161" i="1" s="1"/>
  <c r="I162" i="1" a="1"/>
  <c r="I162" i="1" s="1"/>
  <c r="J162" i="1" a="1"/>
  <c r="J162" i="1" s="1"/>
  <c r="I163" i="1" a="1"/>
  <c r="I163" i="1" s="1"/>
  <c r="J163" i="1" a="1"/>
  <c r="J163" i="1" s="1"/>
  <c r="I164" i="1" a="1"/>
  <c r="I164" i="1" s="1"/>
  <c r="J164" i="1" a="1"/>
  <c r="J164" i="1" s="1"/>
  <c r="I165" i="1" a="1"/>
  <c r="I165" i="1" s="1"/>
  <c r="J165" i="1" a="1"/>
  <c r="J165" i="1" s="1"/>
  <c r="I166" i="1" a="1"/>
  <c r="I166" i="1" s="1"/>
  <c r="J166" i="1" a="1"/>
  <c r="J166" i="1" s="1"/>
  <c r="I167" i="1" a="1"/>
  <c r="I167" i="1" s="1"/>
  <c r="J167" i="1" a="1"/>
  <c r="J167" i="1" s="1"/>
  <c r="I168" i="1" a="1"/>
  <c r="I168" i="1" s="1"/>
  <c r="J168" i="1" a="1"/>
  <c r="J168" i="1" s="1"/>
  <c r="I169" i="1" a="1"/>
  <c r="I169" i="1" s="1"/>
  <c r="J169" i="1" a="1"/>
  <c r="J169" i="1" s="1"/>
  <c r="I170" i="1" a="1"/>
  <c r="I170" i="1" s="1"/>
  <c r="J170" i="1" a="1"/>
  <c r="J170" i="1" s="1"/>
  <c r="I171" i="1" a="1"/>
  <c r="I171" i="1" s="1"/>
  <c r="J171" i="1" a="1"/>
  <c r="J171" i="1" s="1"/>
  <c r="I172" i="1" a="1"/>
  <c r="I172" i="1" s="1"/>
  <c r="J172" i="1" a="1"/>
  <c r="J172" i="1" s="1"/>
  <c r="I173" i="1" a="1"/>
  <c r="I173" i="1" s="1"/>
  <c r="J173" i="1" a="1"/>
  <c r="J173" i="1" s="1"/>
  <c r="I174" i="1" a="1"/>
  <c r="I174" i="1" s="1"/>
  <c r="J174" i="1" a="1"/>
  <c r="J174" i="1" s="1"/>
  <c r="I175" i="1" a="1"/>
  <c r="I175" i="1" s="1"/>
  <c r="J175" i="1" a="1"/>
  <c r="J175" i="1" s="1"/>
  <c r="I176" i="1" a="1"/>
  <c r="I176" i="1" s="1"/>
  <c r="J176" i="1" a="1"/>
  <c r="J176" i="1" s="1"/>
  <c r="I177" i="1" a="1"/>
  <c r="I177" i="1" s="1"/>
  <c r="J177" i="1" a="1"/>
  <c r="J177" i="1" s="1"/>
  <c r="I178" i="1" a="1"/>
  <c r="I178" i="1" s="1"/>
  <c r="J178" i="1" a="1"/>
  <c r="J178" i="1" s="1"/>
  <c r="I179" i="1" a="1"/>
  <c r="I179" i="1" s="1"/>
  <c r="J179" i="1" a="1"/>
  <c r="J179" i="1" s="1"/>
  <c r="I180" i="1" a="1"/>
  <c r="I180" i="1" s="1"/>
  <c r="J180" i="1" a="1"/>
  <c r="J180" i="1" s="1"/>
  <c r="I181" i="1" a="1"/>
  <c r="I181" i="1" s="1"/>
  <c r="J181" i="1" a="1"/>
  <c r="J181" i="1" s="1"/>
  <c r="I182" i="1" a="1"/>
  <c r="I182" i="1" s="1"/>
  <c r="J182" i="1" a="1"/>
  <c r="J182" i="1" s="1"/>
  <c r="I183" i="1" a="1"/>
  <c r="I183" i="1" s="1"/>
  <c r="J183" i="1" a="1"/>
  <c r="J183" i="1" s="1"/>
  <c r="I184" i="1" a="1"/>
  <c r="I184" i="1" s="1"/>
  <c r="J184" i="1" a="1"/>
  <c r="J184" i="1" s="1"/>
  <c r="I185" i="1" a="1"/>
  <c r="I185" i="1" s="1"/>
  <c r="J185" i="1" a="1"/>
  <c r="J185" i="1" s="1"/>
  <c r="I186" i="1" a="1"/>
  <c r="I186" i="1" s="1"/>
  <c r="J186" i="1" a="1"/>
  <c r="J186" i="1" s="1"/>
  <c r="I187" i="1" a="1"/>
  <c r="I187" i="1" s="1"/>
  <c r="J187" i="1" a="1"/>
  <c r="J187" i="1" s="1"/>
  <c r="I188" i="1" a="1"/>
  <c r="I188" i="1" s="1"/>
  <c r="J188" i="1" a="1"/>
  <c r="J188" i="1" s="1"/>
  <c r="I189" i="1" a="1"/>
  <c r="I189" i="1" s="1"/>
  <c r="J189" i="1" a="1"/>
  <c r="J189" i="1" s="1"/>
  <c r="I190" i="1" a="1"/>
  <c r="I190" i="1" s="1"/>
  <c r="J190" i="1" a="1"/>
  <c r="J190" i="1" s="1"/>
  <c r="I191" i="1" a="1"/>
  <c r="I191" i="1" s="1"/>
  <c r="J191" i="1" a="1"/>
  <c r="J191" i="1" s="1"/>
  <c r="I192" i="1" a="1"/>
  <c r="I192" i="1" s="1"/>
  <c r="J192" i="1" a="1"/>
  <c r="J192" i="1" s="1"/>
  <c r="I193" i="1" a="1"/>
  <c r="I193" i="1" s="1"/>
  <c r="J193" i="1" a="1"/>
  <c r="J193" i="1" s="1"/>
  <c r="I194" i="1" a="1"/>
  <c r="I194" i="1" s="1"/>
  <c r="J194" i="1" a="1"/>
  <c r="J194" i="1" s="1"/>
  <c r="I195" i="1" a="1"/>
  <c r="I195" i="1" s="1"/>
  <c r="J195" i="1" a="1"/>
  <c r="J195" i="1" s="1"/>
  <c r="I196" i="1" a="1"/>
  <c r="I196" i="1" s="1"/>
  <c r="J196" i="1" a="1"/>
  <c r="J196" i="1" s="1"/>
  <c r="I197" i="1" a="1"/>
  <c r="I197" i="1"/>
  <c r="J197" i="1" a="1"/>
  <c r="J197" i="1" s="1"/>
  <c r="I198" i="1" a="1"/>
  <c r="I198" i="1" s="1"/>
  <c r="J198" i="1" a="1"/>
  <c r="J198" i="1" s="1"/>
  <c r="I199" i="1" a="1"/>
  <c r="I199" i="1" s="1"/>
  <c r="J199" i="1" a="1"/>
  <c r="J199" i="1" s="1"/>
  <c r="I201" i="1" a="1"/>
  <c r="I201" i="1" s="1"/>
  <c r="J201" i="1" a="1"/>
  <c r="J201" i="1" s="1"/>
  <c r="I202" i="1" a="1"/>
  <c r="I202" i="1" s="1"/>
  <c r="J202" i="1" a="1"/>
  <c r="J202" i="1" s="1"/>
  <c r="I203" i="1" a="1"/>
  <c r="I203" i="1" s="1"/>
  <c r="J203" i="1" a="1"/>
  <c r="J203" i="1" s="1"/>
  <c r="I204" i="1" a="1"/>
  <c r="I204" i="1" s="1"/>
  <c r="J204" i="1" a="1"/>
  <c r="J204" i="1" s="1"/>
  <c r="I205" i="1" a="1"/>
  <c r="I205" i="1" s="1"/>
  <c r="J205" i="1" a="1"/>
  <c r="J205" i="1" s="1"/>
  <c r="I206" i="1" a="1"/>
  <c r="I206" i="1" s="1"/>
  <c r="J206" i="1" a="1"/>
  <c r="J206" i="1" s="1"/>
  <c r="I207" i="1" a="1"/>
  <c r="I207" i="1" s="1"/>
  <c r="J207" i="1" a="1"/>
  <c r="J207" i="1" s="1"/>
  <c r="I208" i="1" a="1"/>
  <c r="I208" i="1" s="1"/>
  <c r="J208" i="1" a="1"/>
  <c r="J208" i="1" s="1"/>
  <c r="I209" i="1" a="1"/>
  <c r="I209" i="1" s="1"/>
  <c r="J209" i="1" a="1"/>
  <c r="J209" i="1" s="1"/>
  <c r="I210" i="1" a="1"/>
  <c r="I210" i="1" s="1"/>
  <c r="J210" i="1" a="1"/>
  <c r="J210" i="1" s="1"/>
  <c r="I211" i="1" a="1"/>
  <c r="I211" i="1" s="1"/>
  <c r="J211" i="1" a="1"/>
  <c r="J211" i="1" s="1"/>
  <c r="I212" i="1" a="1"/>
  <c r="I212" i="1" s="1"/>
  <c r="J212" i="1" a="1"/>
  <c r="J212" i="1" s="1"/>
  <c r="I213" i="1" a="1"/>
  <c r="I213" i="1" s="1"/>
  <c r="J213" i="1" a="1"/>
  <c r="J213" i="1" s="1"/>
  <c r="I214" i="1" a="1"/>
  <c r="I214" i="1" s="1"/>
  <c r="J214" i="1" a="1"/>
  <c r="J214" i="1" s="1"/>
  <c r="I215" i="1" a="1"/>
  <c r="I215" i="1" s="1"/>
  <c r="J215" i="1" a="1"/>
  <c r="J215" i="1" s="1"/>
  <c r="I216" i="1" a="1"/>
  <c r="I216" i="1" s="1"/>
  <c r="J216" i="1" a="1"/>
  <c r="J216" i="1" s="1"/>
  <c r="I217" i="1" a="1"/>
  <c r="I217" i="1" s="1"/>
  <c r="J217" i="1" a="1"/>
  <c r="J217" i="1" s="1"/>
  <c r="I218" i="1" a="1"/>
  <c r="I218" i="1" s="1"/>
  <c r="J218" i="1" a="1"/>
  <c r="J218" i="1" s="1"/>
  <c r="I219" i="1" a="1"/>
  <c r="I219" i="1" s="1"/>
  <c r="J219" i="1" a="1"/>
  <c r="J219" i="1" s="1"/>
  <c r="I220" i="1" a="1"/>
  <c r="I220" i="1" s="1"/>
  <c r="J220" i="1" a="1"/>
  <c r="J220" i="1" s="1"/>
  <c r="I221" i="1" a="1"/>
  <c r="I221" i="1" s="1"/>
  <c r="J221" i="1" a="1"/>
  <c r="J221" i="1" s="1"/>
  <c r="I223" i="1" a="1"/>
  <c r="I223" i="1" s="1"/>
  <c r="J223" i="1" a="1"/>
  <c r="J223" i="1" s="1"/>
  <c r="I224" i="1" a="1"/>
  <c r="I224" i="1" s="1"/>
  <c r="J224" i="1" a="1"/>
  <c r="J224" i="1" s="1"/>
  <c r="I225" i="1" a="1"/>
  <c r="I225" i="1" s="1"/>
  <c r="J225" i="1" a="1"/>
  <c r="J225" i="1" s="1"/>
  <c r="I226" i="1" a="1"/>
  <c r="I226" i="1" s="1"/>
  <c r="J226" i="1" a="1"/>
  <c r="J226" i="1" s="1"/>
  <c r="I227" i="1" a="1"/>
  <c r="I227" i="1" s="1"/>
  <c r="J227" i="1" a="1"/>
  <c r="J227" i="1" s="1"/>
  <c r="I228" i="1" a="1"/>
  <c r="I228" i="1" s="1"/>
  <c r="J228" i="1" a="1"/>
  <c r="J228" i="1" s="1"/>
  <c r="I229" i="1" a="1"/>
  <c r="I229" i="1" s="1"/>
  <c r="J229" i="1" a="1"/>
  <c r="J229" i="1"/>
  <c r="I230" i="1" a="1"/>
  <c r="I230" i="1" s="1"/>
  <c r="J230" i="1" a="1"/>
  <c r="J230" i="1" s="1"/>
  <c r="I231" i="1" a="1"/>
  <c r="I231" i="1" s="1"/>
  <c r="J231" i="1" a="1"/>
  <c r="J231" i="1" s="1"/>
  <c r="I232" i="1" a="1"/>
  <c r="I232" i="1" s="1"/>
  <c r="J232" i="1" a="1"/>
  <c r="J232" i="1" s="1"/>
  <c r="I233" i="1" a="1"/>
  <c r="I233" i="1" s="1"/>
  <c r="J233" i="1" a="1"/>
  <c r="J233" i="1" s="1"/>
  <c r="I234" i="1" a="1"/>
  <c r="I234" i="1" s="1"/>
  <c r="J234" i="1" a="1"/>
  <c r="J234" i="1" s="1"/>
  <c r="I235" i="1" a="1"/>
  <c r="I235" i="1" s="1"/>
  <c r="J235" i="1" a="1"/>
  <c r="J235" i="1" s="1"/>
  <c r="I236" i="1" a="1"/>
  <c r="I236" i="1" s="1"/>
  <c r="J236" i="1" a="1"/>
  <c r="J236" i="1" s="1"/>
  <c r="I237" i="1" a="1"/>
  <c r="I237" i="1" s="1"/>
  <c r="J237" i="1" a="1"/>
  <c r="J237" i="1" s="1"/>
  <c r="I238" i="1" a="1"/>
  <c r="I238" i="1" s="1"/>
  <c r="J238" i="1" a="1"/>
  <c r="J238" i="1" s="1"/>
  <c r="I239" i="1" a="1"/>
  <c r="I239" i="1" s="1"/>
  <c r="J239" i="1" a="1"/>
  <c r="J239" i="1"/>
  <c r="I240" i="1" a="1"/>
  <c r="I240" i="1" s="1"/>
  <c r="J240" i="1" a="1"/>
  <c r="J240" i="1" s="1"/>
  <c r="I241" i="1" a="1"/>
  <c r="I241" i="1"/>
  <c r="J241" i="1" a="1"/>
  <c r="J241" i="1" s="1"/>
  <c r="I242" i="1" a="1"/>
  <c r="I242" i="1" s="1"/>
  <c r="J242" i="1" a="1"/>
  <c r="J242" i="1" s="1"/>
  <c r="I243" i="1" a="1"/>
  <c r="I243" i="1" s="1"/>
  <c r="J243" i="1" a="1"/>
  <c r="J243" i="1" s="1"/>
  <c r="I244" i="1" a="1"/>
  <c r="I244" i="1" s="1"/>
  <c r="J244" i="1" a="1"/>
  <c r="J244" i="1" s="1"/>
  <c r="I245" i="1" a="1"/>
  <c r="I245" i="1" s="1"/>
  <c r="J245" i="1" a="1"/>
  <c r="J245" i="1" s="1"/>
  <c r="I246" i="1" a="1"/>
  <c r="I246" i="1" s="1"/>
  <c r="J246" i="1" a="1"/>
  <c r="J246" i="1" s="1"/>
  <c r="I247" i="1" a="1"/>
  <c r="I247" i="1" s="1"/>
  <c r="J247" i="1" a="1"/>
  <c r="J247" i="1" s="1"/>
  <c r="I248" i="1" a="1"/>
  <c r="I248" i="1" s="1"/>
  <c r="J248" i="1" a="1"/>
  <c r="J248" i="1" s="1"/>
  <c r="J2" i="1" a="1"/>
  <c r="J2" i="1" s="1"/>
  <c r="I2" i="1" a="1"/>
  <c r="I2" i="1" s="1"/>
  <c r="E3" i="1" a="1"/>
  <c r="E3" i="1" s="1"/>
  <c r="G3" i="1" s="1" a="1"/>
  <c r="G3" i="1" s="1"/>
  <c r="E4" i="1" a="1"/>
  <c r="E4" i="1" s="1"/>
  <c r="G4" i="1" s="1" a="1"/>
  <c r="G4" i="1" s="1"/>
  <c r="E5" i="1" a="1"/>
  <c r="E5" i="1" s="1"/>
  <c r="E6" i="1" a="1"/>
  <c r="E6" i="1" s="1"/>
  <c r="E7" i="1" a="1"/>
  <c r="E7" i="1" s="1"/>
  <c r="F7" i="1" s="1" a="1"/>
  <c r="F7" i="1" s="1"/>
  <c r="E8" i="1" a="1"/>
  <c r="E8" i="1" s="1"/>
  <c r="G8" i="1" s="1" a="1"/>
  <c r="G8" i="1" s="1"/>
  <c r="E9" i="1" a="1"/>
  <c r="E9" i="1" s="1"/>
  <c r="E10" i="1" a="1"/>
  <c r="E10" i="1" s="1"/>
  <c r="E11" i="1" a="1"/>
  <c r="E11" i="1" s="1"/>
  <c r="H11" i="1" s="1"/>
  <c r="E12" i="1" a="1"/>
  <c r="E12" i="1" s="1"/>
  <c r="G12" i="1" s="1" a="1"/>
  <c r="G12" i="1" s="1"/>
  <c r="E13" i="1" a="1"/>
  <c r="E13" i="1" s="1"/>
  <c r="G13" i="1" s="1" a="1"/>
  <c r="G13" i="1" s="1"/>
  <c r="E14" i="1" a="1"/>
  <c r="E14" i="1" s="1"/>
  <c r="E15" i="1" a="1"/>
  <c r="E15" i="1" s="1"/>
  <c r="E16" i="1" a="1"/>
  <c r="E16" i="1" s="1"/>
  <c r="H16" i="1" s="1"/>
  <c r="E17" i="1" a="1"/>
  <c r="E17" i="1" s="1"/>
  <c r="F17" i="1" s="1" a="1"/>
  <c r="F17" i="1" s="1"/>
  <c r="E18" i="1" a="1"/>
  <c r="E18" i="1" s="1"/>
  <c r="G18" i="1" s="1" a="1"/>
  <c r="G18" i="1" s="1"/>
  <c r="E19" i="1" a="1"/>
  <c r="E19" i="1" s="1"/>
  <c r="H19" i="1" s="1"/>
  <c r="E20" i="1" a="1"/>
  <c r="E20" i="1" s="1"/>
  <c r="E21" i="1" a="1"/>
  <c r="E21" i="1" s="1"/>
  <c r="H21" i="1" s="1"/>
  <c r="E22" i="1" a="1"/>
  <c r="E22" i="1" s="1"/>
  <c r="E23" i="1" a="1"/>
  <c r="E23" i="1" s="1"/>
  <c r="E24" i="1" a="1"/>
  <c r="E24" i="1" s="1"/>
  <c r="E25" i="1" a="1"/>
  <c r="E25" i="1" s="1"/>
  <c r="E26" i="1" a="1"/>
  <c r="E26" i="1" s="1"/>
  <c r="H26" i="1" s="1"/>
  <c r="E27" i="1" a="1"/>
  <c r="E27" i="1" s="1"/>
  <c r="F27" i="1" s="1" a="1"/>
  <c r="F27" i="1" s="1"/>
  <c r="E28" i="1" a="1"/>
  <c r="E28" i="1" s="1"/>
  <c r="G28" i="1" s="1" a="1"/>
  <c r="G28" i="1" s="1"/>
  <c r="E29" i="1" a="1"/>
  <c r="E29" i="1" s="1"/>
  <c r="E30" i="1" a="1"/>
  <c r="E30" i="1" s="1"/>
  <c r="H30" i="1" s="1"/>
  <c r="E31" i="1" a="1"/>
  <c r="E31" i="1" s="1"/>
  <c r="F31" i="1" s="1" a="1"/>
  <c r="F31" i="1" s="1"/>
  <c r="E32" i="1" a="1"/>
  <c r="E32" i="1" s="1"/>
  <c r="E33" i="1" a="1"/>
  <c r="E33" i="1" s="1"/>
  <c r="E34" i="1" a="1"/>
  <c r="E34" i="1" s="1"/>
  <c r="G34" i="1" s="1" a="1"/>
  <c r="G34" i="1" s="1"/>
  <c r="E35" i="1" a="1"/>
  <c r="E35" i="1" s="1"/>
  <c r="G35" i="1" s="1" a="1"/>
  <c r="G35" i="1" s="1"/>
  <c r="E36" i="1" a="1"/>
  <c r="E36" i="1" s="1"/>
  <c r="H36" i="1" s="1"/>
  <c r="E37" i="1" a="1"/>
  <c r="E37" i="1" s="1"/>
  <c r="E38" i="1" a="1"/>
  <c r="E38" i="1" s="1"/>
  <c r="F38" i="1" s="1" a="1"/>
  <c r="F38" i="1" s="1"/>
  <c r="E39" i="1" a="1"/>
  <c r="E39" i="1" s="1"/>
  <c r="E40" i="1" a="1"/>
  <c r="E40" i="1" s="1"/>
  <c r="E41" i="1" a="1"/>
  <c r="E41" i="1" s="1"/>
  <c r="E42" i="1" a="1"/>
  <c r="E42" i="1" s="1"/>
  <c r="F42" i="1" s="1" a="1"/>
  <c r="F42" i="1" s="1"/>
  <c r="E43" i="1" a="1"/>
  <c r="E43" i="1" s="1"/>
  <c r="G43" i="1" s="1" a="1"/>
  <c r="G43" i="1" s="1"/>
  <c r="E44" i="1" a="1"/>
  <c r="E44" i="1" s="1"/>
  <c r="E45" i="1" a="1"/>
  <c r="E45" i="1" s="1"/>
  <c r="H45" i="1" s="1"/>
  <c r="E46" i="1" a="1"/>
  <c r="E46" i="1" s="1"/>
  <c r="H46" i="1" s="1"/>
  <c r="E47" i="1" a="1"/>
  <c r="E47" i="1" s="1"/>
  <c r="F47" i="1" s="1" a="1"/>
  <c r="F47" i="1" s="1"/>
  <c r="E48" i="1" a="1"/>
  <c r="E48" i="1" s="1"/>
  <c r="E49" i="1" a="1"/>
  <c r="E49" i="1" s="1"/>
  <c r="E50" i="1" a="1"/>
  <c r="E50" i="1" s="1"/>
  <c r="E51" i="1" a="1"/>
  <c r="E51" i="1" s="1"/>
  <c r="E52" i="1" a="1"/>
  <c r="E52" i="1" s="1"/>
  <c r="E53" i="1" a="1"/>
  <c r="E53" i="1"/>
  <c r="F53" i="1" s="1" a="1"/>
  <c r="F53" i="1" s="1"/>
  <c r="E54" i="1" a="1"/>
  <c r="E54" i="1" s="1"/>
  <c r="H54" i="1" s="1"/>
  <c r="E55" i="1" a="1"/>
  <c r="E55" i="1" s="1"/>
  <c r="E56" i="1" a="1"/>
  <c r="E56" i="1" s="1"/>
  <c r="H56" i="1" s="1"/>
  <c r="E57" i="1" a="1"/>
  <c r="E57" i="1" s="1"/>
  <c r="F57" i="1" s="1" a="1"/>
  <c r="F57" i="1" s="1"/>
  <c r="E58" i="1" a="1"/>
  <c r="E58" i="1" s="1"/>
  <c r="H58" i="1" s="1"/>
  <c r="E59" i="1" a="1"/>
  <c r="E59" i="1" s="1"/>
  <c r="H59" i="1" s="1"/>
  <c r="E60" i="1" a="1"/>
  <c r="E60" i="1" s="1"/>
  <c r="E61" i="1" a="1"/>
  <c r="E61" i="1" s="1"/>
  <c r="G61" i="1" s="1" a="1"/>
  <c r="G61" i="1" s="1"/>
  <c r="E62" i="1" a="1"/>
  <c r="E62" i="1" s="1"/>
  <c r="H62" i="1" s="1"/>
  <c r="E63" i="1" a="1"/>
  <c r="E63" i="1" s="1"/>
  <c r="E64" i="1" a="1"/>
  <c r="E64" i="1" s="1"/>
  <c r="E65" i="1" a="1"/>
  <c r="E65" i="1" s="1"/>
  <c r="E66" i="1" a="1"/>
  <c r="E66" i="1" s="1"/>
  <c r="G66" i="1" s="1" a="1"/>
  <c r="G66" i="1" s="1"/>
  <c r="E67" i="1" a="1"/>
  <c r="E67" i="1" s="1"/>
  <c r="G67" i="1" s="1" a="1"/>
  <c r="G67" i="1" s="1"/>
  <c r="E68" i="1" a="1"/>
  <c r="E68" i="1" s="1"/>
  <c r="F68" i="1" s="1" a="1"/>
  <c r="F68" i="1" s="1"/>
  <c r="E69" i="1" a="1"/>
  <c r="E69" i="1" s="1"/>
  <c r="H69" i="1" s="1"/>
  <c r="E70" i="1" a="1"/>
  <c r="E70" i="1" s="1"/>
  <c r="G70" i="1" s="1" a="1"/>
  <c r="G70" i="1" s="1"/>
  <c r="E71" i="1" a="1"/>
  <c r="E71" i="1" s="1"/>
  <c r="G71" i="1" s="1" a="1"/>
  <c r="G71" i="1" s="1"/>
  <c r="E72" i="1" a="1"/>
  <c r="E72" i="1" s="1"/>
  <c r="E73" i="1" a="1"/>
  <c r="E73" i="1" s="1"/>
  <c r="E74" i="1" a="1"/>
  <c r="E74" i="1" s="1"/>
  <c r="F74" i="1" s="1" a="1"/>
  <c r="F74" i="1" s="1"/>
  <c r="E75" i="1" a="1"/>
  <c r="E75" i="1" s="1"/>
  <c r="E76" i="1" a="1"/>
  <c r="E76" i="1" s="1"/>
  <c r="G76" i="1" s="1" a="1"/>
  <c r="G76" i="1" s="1"/>
  <c r="E77" i="1" a="1"/>
  <c r="E77" i="1" s="1"/>
  <c r="G77" i="1" s="1" a="1"/>
  <c r="G77" i="1" s="1"/>
  <c r="E78" i="1" a="1"/>
  <c r="E78" i="1" s="1"/>
  <c r="H78" i="1" s="1"/>
  <c r="E79" i="1" a="1"/>
  <c r="E79" i="1" s="1"/>
  <c r="E80" i="1" a="1"/>
  <c r="E80" i="1" s="1"/>
  <c r="E81" i="1" a="1"/>
  <c r="E81" i="1" s="1"/>
  <c r="H81" i="1" s="1"/>
  <c r="E82" i="1" a="1"/>
  <c r="E82" i="1" s="1"/>
  <c r="E83" i="1" a="1"/>
  <c r="E83" i="1" s="1"/>
  <c r="F83" i="1" s="1" a="1"/>
  <c r="F83" i="1" s="1"/>
  <c r="E84" i="1" a="1"/>
  <c r="E84" i="1" s="1"/>
  <c r="E85" i="1" a="1"/>
  <c r="E85" i="1" s="1"/>
  <c r="G85" i="1" s="1" a="1"/>
  <c r="G85" i="1" s="1"/>
  <c r="E86" i="1" a="1"/>
  <c r="E86" i="1" s="1"/>
  <c r="F86" i="1" s="1" a="1"/>
  <c r="F86" i="1" s="1"/>
  <c r="E87" i="1" a="1"/>
  <c r="E87" i="1" s="1"/>
  <c r="F87" i="1" s="1" a="1"/>
  <c r="F87" i="1" s="1"/>
  <c r="E88" i="1" a="1"/>
  <c r="E88" i="1" s="1"/>
  <c r="E89" i="1" a="1"/>
  <c r="E89" i="1" s="1"/>
  <c r="F89" i="1" s="1" a="1"/>
  <c r="F89" i="1" s="1"/>
  <c r="E90" i="1" a="1"/>
  <c r="E90" i="1" s="1"/>
  <c r="H90" i="1" s="1"/>
  <c r="E91" i="1" a="1"/>
  <c r="E91" i="1" s="1"/>
  <c r="F91" i="1" s="1" a="1"/>
  <c r="F91" i="1" s="1"/>
  <c r="E92" i="1" a="1"/>
  <c r="E92" i="1" s="1"/>
  <c r="F92" i="1" s="1" a="1"/>
  <c r="F92" i="1" s="1"/>
  <c r="E93" i="1" a="1"/>
  <c r="E93" i="1" s="1"/>
  <c r="E94" i="1" a="1"/>
  <c r="E94" i="1" s="1"/>
  <c r="H94" i="1" s="1"/>
  <c r="E95" i="1" a="1"/>
  <c r="E95" i="1" s="1"/>
  <c r="E96" i="1" a="1"/>
  <c r="E96" i="1" s="1"/>
  <c r="E97" i="1" a="1"/>
  <c r="E97" i="1" s="1"/>
  <c r="F97" i="1" s="1" a="1"/>
  <c r="F97" i="1" s="1"/>
  <c r="E98" i="1" a="1"/>
  <c r="E98" i="1" s="1"/>
  <c r="G98" i="1" s="1" a="1"/>
  <c r="G98" i="1" s="1"/>
  <c r="E99" i="1" a="1"/>
  <c r="E99" i="1" s="1"/>
  <c r="F99" i="1" s="1" a="1"/>
  <c r="F99" i="1" s="1"/>
  <c r="E100" i="1" a="1"/>
  <c r="E100" i="1" s="1"/>
  <c r="G100" i="1" s="1" a="1"/>
  <c r="G100" i="1" s="1"/>
  <c r="E101" i="1" a="1"/>
  <c r="E101" i="1" s="1"/>
  <c r="H101" i="1" s="1"/>
  <c r="E102" i="1" a="1"/>
  <c r="E102" i="1" s="1"/>
  <c r="E103" i="1" a="1"/>
  <c r="E103" i="1" s="1"/>
  <c r="G103" i="1" s="1" a="1"/>
  <c r="G103" i="1" s="1"/>
  <c r="E104" i="1" a="1"/>
  <c r="E104" i="1" s="1"/>
  <c r="H104" i="1" s="1"/>
  <c r="E105" i="1" a="1"/>
  <c r="E105" i="1" s="1"/>
  <c r="F105" i="1" s="1" a="1"/>
  <c r="F105" i="1" s="1"/>
  <c r="E106" i="1" a="1"/>
  <c r="E106" i="1" s="1"/>
  <c r="G106" i="1" s="1" a="1"/>
  <c r="G106" i="1" s="1"/>
  <c r="E107" i="1" a="1"/>
  <c r="E107" i="1" s="1"/>
  <c r="G107" i="1" s="1" a="1"/>
  <c r="G107" i="1" s="1"/>
  <c r="E108" i="1" a="1"/>
  <c r="E108" i="1" s="1"/>
  <c r="F108" i="1" s="1" a="1"/>
  <c r="F108" i="1" s="1"/>
  <c r="E109" i="1" a="1"/>
  <c r="E109" i="1" s="1"/>
  <c r="H109" i="1" s="1"/>
  <c r="E110" i="1" a="1"/>
  <c r="E110" i="1" s="1"/>
  <c r="H110" i="1" s="1"/>
  <c r="E111" i="1" a="1"/>
  <c r="E111" i="1" s="1"/>
  <c r="E112" i="1" a="1"/>
  <c r="E112" i="1" s="1"/>
  <c r="E113" i="1" a="1"/>
  <c r="E113" i="1" s="1"/>
  <c r="E114" i="1" a="1"/>
  <c r="E114" i="1" s="1"/>
  <c r="E115" i="1" a="1"/>
  <c r="E115" i="1" s="1"/>
  <c r="E116" i="1" a="1"/>
  <c r="E116" i="1" s="1"/>
  <c r="E117" i="1" a="1"/>
  <c r="E117" i="1" s="1"/>
  <c r="E118" i="1" a="1"/>
  <c r="E118" i="1" s="1"/>
  <c r="H118" i="1" s="1"/>
  <c r="E119" i="1" a="1"/>
  <c r="E119" i="1" s="1"/>
  <c r="F119" i="1" s="1" a="1"/>
  <c r="F119" i="1" s="1"/>
  <c r="E120" i="1" a="1"/>
  <c r="E120" i="1" s="1"/>
  <c r="H120" i="1" s="1"/>
  <c r="E121" i="1" a="1"/>
  <c r="E121" i="1" s="1"/>
  <c r="G121" i="1" s="1" a="1"/>
  <c r="G121" i="1" s="1"/>
  <c r="E122" i="1" a="1"/>
  <c r="E122" i="1" s="1"/>
  <c r="G122" i="1" s="1" a="1"/>
  <c r="G122" i="1" s="1"/>
  <c r="E123" i="1" a="1"/>
  <c r="E123" i="1" s="1"/>
  <c r="G123" i="1" s="1" a="1"/>
  <c r="G123" i="1" s="1"/>
  <c r="E124" i="1" a="1"/>
  <c r="E124" i="1" s="1"/>
  <c r="E125" i="1" a="1"/>
  <c r="E125" i="1" s="1"/>
  <c r="F125" i="1" s="1" a="1"/>
  <c r="F125" i="1" s="1"/>
  <c r="E126" i="1" a="1"/>
  <c r="E126" i="1" s="1"/>
  <c r="G126" i="1" s="1" a="1"/>
  <c r="G126" i="1" s="1"/>
  <c r="E127" i="1" a="1"/>
  <c r="E127" i="1" s="1"/>
  <c r="H127" i="1" s="1"/>
  <c r="E128" i="1" a="1"/>
  <c r="E128" i="1" s="1"/>
  <c r="H128" i="1" s="1"/>
  <c r="E129" i="1" a="1"/>
  <c r="E129" i="1" s="1"/>
  <c r="H129" i="1" s="1"/>
  <c r="E130" i="1" a="1"/>
  <c r="E130" i="1" s="1"/>
  <c r="F130" i="1" s="1" a="1"/>
  <c r="F130" i="1" s="1"/>
  <c r="E131" i="1" a="1"/>
  <c r="E131" i="1" s="1"/>
  <c r="H131" i="1" s="1"/>
  <c r="E132" i="1" a="1"/>
  <c r="E132" i="1" s="1"/>
  <c r="E133" i="1" a="1"/>
  <c r="E133" i="1" s="1"/>
  <c r="F133" i="1" s="1" a="1"/>
  <c r="F133" i="1" s="1"/>
  <c r="E134" i="1" a="1"/>
  <c r="E134" i="1" s="1"/>
  <c r="G134" i="1" s="1" a="1"/>
  <c r="G134" i="1" s="1"/>
  <c r="E135" i="1" a="1"/>
  <c r="E135" i="1" s="1"/>
  <c r="G135" i="1" s="1" a="1"/>
  <c r="G135" i="1" s="1"/>
  <c r="E136" i="1" a="1"/>
  <c r="E136" i="1" s="1"/>
  <c r="G136" i="1" s="1" a="1"/>
  <c r="G136" i="1" s="1"/>
  <c r="E137" i="1" a="1"/>
  <c r="E137" i="1" s="1"/>
  <c r="E138" i="1" a="1"/>
  <c r="E138" i="1" s="1"/>
  <c r="F138" i="1" s="1" a="1"/>
  <c r="F138" i="1" s="1"/>
  <c r="E139" i="1" a="1"/>
  <c r="E139" i="1" s="1"/>
  <c r="H139" i="1" s="1"/>
  <c r="E140" i="1" a="1"/>
  <c r="E140" i="1" s="1"/>
  <c r="E141" i="1" a="1"/>
  <c r="E141" i="1" s="1"/>
  <c r="F141" i="1" s="1" a="1"/>
  <c r="F141" i="1" s="1"/>
  <c r="E142" i="1" a="1"/>
  <c r="E142" i="1" s="1"/>
  <c r="E143" i="1" a="1"/>
  <c r="E143" i="1" s="1"/>
  <c r="H143" i="1" s="1"/>
  <c r="E144" i="1" a="1"/>
  <c r="E144" i="1" s="1"/>
  <c r="G144" i="1" s="1" a="1"/>
  <c r="G144" i="1" s="1"/>
  <c r="E145" i="1" a="1"/>
  <c r="E145" i="1" s="1"/>
  <c r="G145" i="1" s="1" a="1"/>
  <c r="G145" i="1" s="1"/>
  <c r="E146" i="1" a="1"/>
  <c r="E146" i="1" s="1"/>
  <c r="H146" i="1" s="1"/>
  <c r="E147" i="1" a="1"/>
  <c r="E147" i="1" s="1"/>
  <c r="E148" i="1" a="1"/>
  <c r="E148" i="1"/>
  <c r="H148" i="1" s="1"/>
  <c r="E149" i="1" a="1"/>
  <c r="E149" i="1" s="1"/>
  <c r="G149" i="1" s="1" a="1"/>
  <c r="G149" i="1" s="1"/>
  <c r="E150" i="1" a="1"/>
  <c r="E150" i="1" s="1"/>
  <c r="G150" i="1" s="1" a="1"/>
  <c r="G150" i="1" s="1"/>
  <c r="E151" i="1" a="1"/>
  <c r="E151" i="1"/>
  <c r="E152" i="1" a="1"/>
  <c r="E152" i="1" s="1"/>
  <c r="F152" i="1" s="1" a="1"/>
  <c r="F152" i="1" s="1"/>
  <c r="E153" i="1" a="1"/>
  <c r="E153" i="1" s="1"/>
  <c r="G153" i="1" s="1" a="1"/>
  <c r="G153" i="1" s="1"/>
  <c r="E154" i="1" a="1"/>
  <c r="E154" i="1" s="1"/>
  <c r="E155" i="1" a="1"/>
  <c r="E155" i="1" s="1"/>
  <c r="G155" i="1" s="1" a="1"/>
  <c r="G155" i="1" s="1"/>
  <c r="E156" i="1" a="1"/>
  <c r="E156" i="1" s="1"/>
  <c r="G156" i="1" s="1" a="1"/>
  <c r="G156" i="1" s="1"/>
  <c r="E157" i="1" a="1"/>
  <c r="E157" i="1" s="1"/>
  <c r="F157" i="1" s="1" a="1"/>
  <c r="F157" i="1" s="1"/>
  <c r="E158" i="1" a="1"/>
  <c r="E158" i="1" s="1"/>
  <c r="E159" i="1" a="1"/>
  <c r="E159" i="1" s="1"/>
  <c r="E160" i="1" a="1"/>
  <c r="E160" i="1" s="1"/>
  <c r="E161" i="1" a="1"/>
  <c r="E161" i="1" s="1"/>
  <c r="E162" i="1" a="1"/>
  <c r="E162" i="1" s="1"/>
  <c r="F162" i="1" s="1" a="1"/>
  <c r="F162" i="1" s="1"/>
  <c r="E163" i="1" a="1"/>
  <c r="E163" i="1" s="1"/>
  <c r="H163" i="1" s="1"/>
  <c r="E164" i="1" a="1"/>
  <c r="E164" i="1" s="1"/>
  <c r="E165" i="1" a="1"/>
  <c r="E165" i="1" s="1"/>
  <c r="E166" i="1" a="1"/>
  <c r="E166" i="1" s="1"/>
  <c r="H166" i="1" s="1"/>
  <c r="E167" i="1" a="1"/>
  <c r="E167" i="1" s="1"/>
  <c r="E168" i="1" a="1"/>
  <c r="E168" i="1" s="1"/>
  <c r="H168" i="1" s="1"/>
  <c r="E169" i="1" a="1"/>
  <c r="E169" i="1" s="1"/>
  <c r="E170" i="1" a="1"/>
  <c r="E170" i="1" s="1"/>
  <c r="F170" i="1" s="1" a="1"/>
  <c r="F170" i="1" s="1"/>
  <c r="E171" i="1" a="1"/>
  <c r="E171" i="1" s="1"/>
  <c r="F171" i="1" s="1" a="1"/>
  <c r="F171" i="1" s="1"/>
  <c r="E172" i="1" a="1"/>
  <c r="E172" i="1" s="1"/>
  <c r="E173" i="1" a="1"/>
  <c r="E173" i="1" s="1"/>
  <c r="G173" i="1" s="1" a="1"/>
  <c r="G173" i="1" s="1"/>
  <c r="E174" i="1" a="1"/>
  <c r="E174" i="1" s="1"/>
  <c r="E175" i="1" a="1"/>
  <c r="E175" i="1" s="1"/>
  <c r="H175" i="1" s="1"/>
  <c r="E176" i="1" a="1"/>
  <c r="E176" i="1" s="1"/>
  <c r="H176" i="1" s="1"/>
  <c r="E177" i="1" a="1"/>
  <c r="E177" i="1" s="1"/>
  <c r="H177" i="1" s="1"/>
  <c r="E178" i="1" a="1"/>
  <c r="E178" i="1" s="1"/>
  <c r="F178" i="1" s="1" a="1"/>
  <c r="F178" i="1" s="1"/>
  <c r="E179" i="1" a="1"/>
  <c r="E179" i="1" s="1"/>
  <c r="E180" i="1" a="1"/>
  <c r="E180" i="1" s="1"/>
  <c r="E181" i="1" a="1"/>
  <c r="E181" i="1" s="1"/>
  <c r="E182" i="1" a="1"/>
  <c r="E182" i="1" s="1"/>
  <c r="H182" i="1" s="1"/>
  <c r="E183" i="1" a="1"/>
  <c r="E183" i="1" s="1"/>
  <c r="H183" i="1" s="1"/>
  <c r="E184" i="1" a="1"/>
  <c r="E184" i="1" s="1"/>
  <c r="F184" i="1" s="1" a="1"/>
  <c r="F184" i="1" s="1"/>
  <c r="E185" i="1" a="1"/>
  <c r="E185" i="1" s="1"/>
  <c r="E186" i="1" a="1"/>
  <c r="E186" i="1" s="1"/>
  <c r="E187" i="1" a="1"/>
  <c r="E187" i="1" s="1"/>
  <c r="H187" i="1" s="1"/>
  <c r="E188" i="1" a="1"/>
  <c r="E188" i="1" s="1"/>
  <c r="G188" i="1" s="1" a="1"/>
  <c r="G188" i="1" s="1"/>
  <c r="E189" i="1" a="1"/>
  <c r="E189" i="1"/>
  <c r="G189" i="1" s="1" a="1"/>
  <c r="G189" i="1" s="1"/>
  <c r="E190" i="1" a="1"/>
  <c r="E190" i="1" s="1"/>
  <c r="H190" i="1" s="1"/>
  <c r="E191" i="1" a="1"/>
  <c r="E191" i="1" s="1"/>
  <c r="E192" i="1" a="1"/>
  <c r="E192" i="1" s="1"/>
  <c r="E193" i="1" a="1"/>
  <c r="E193" i="1" s="1"/>
  <c r="F193" i="1" s="1" a="1"/>
  <c r="F193" i="1" s="1"/>
  <c r="E194" i="1" a="1"/>
  <c r="E194" i="1" s="1"/>
  <c r="G194" i="1" s="1" a="1"/>
  <c r="G194" i="1" s="1"/>
  <c r="E195" i="1" a="1"/>
  <c r="E195" i="1" s="1"/>
  <c r="G195" i="1" s="1" a="1"/>
  <c r="G195" i="1" s="1"/>
  <c r="E196" i="1" a="1"/>
  <c r="E196" i="1" s="1"/>
  <c r="G196" i="1" s="1" a="1"/>
  <c r="G196" i="1" s="1"/>
  <c r="E197" i="1" a="1"/>
  <c r="E197" i="1" s="1"/>
  <c r="H197" i="1" s="1"/>
  <c r="E198" i="1" a="1"/>
  <c r="E198" i="1" s="1"/>
  <c r="F198" i="1" s="1" a="1"/>
  <c r="F198" i="1" s="1"/>
  <c r="E199" i="1" a="1"/>
  <c r="E199" i="1"/>
  <c r="G199" i="1" s="1" a="1"/>
  <c r="G199" i="1" s="1"/>
  <c r="E201" i="1" a="1"/>
  <c r="E201" i="1" s="1"/>
  <c r="E202" i="1" a="1"/>
  <c r="E202" i="1" s="1"/>
  <c r="E203" i="1" a="1"/>
  <c r="E203" i="1" s="1"/>
  <c r="G203" i="1" s="1" a="1"/>
  <c r="G203" i="1" s="1"/>
  <c r="E204" i="1" a="1"/>
  <c r="E204" i="1" s="1"/>
  <c r="F204" i="1" s="1" a="1"/>
  <c r="F204" i="1" s="1"/>
  <c r="E205" i="1" a="1"/>
  <c r="E205" i="1" s="1"/>
  <c r="E206" i="1" a="1"/>
  <c r="E206" i="1" s="1"/>
  <c r="F206" i="1" s="1" a="1"/>
  <c r="F206" i="1" s="1"/>
  <c r="E207" i="1" a="1"/>
  <c r="E207" i="1" s="1"/>
  <c r="F207" i="1" s="1" a="1"/>
  <c r="F207" i="1" s="1"/>
  <c r="E208" i="1" a="1"/>
  <c r="E208" i="1" s="1"/>
  <c r="E209" i="1" a="1"/>
  <c r="E209" i="1" s="1"/>
  <c r="E210" i="1" a="1"/>
  <c r="E210" i="1" s="1"/>
  <c r="F210" i="1" s="1" a="1"/>
  <c r="F210" i="1" s="1"/>
  <c r="E211" i="1" a="1"/>
  <c r="E211" i="1" s="1"/>
  <c r="E212" i="1" a="1"/>
  <c r="E212" i="1" s="1"/>
  <c r="F212" i="1" s="1" a="1"/>
  <c r="F212" i="1" s="1"/>
  <c r="E213" i="1" a="1"/>
  <c r="E213" i="1" s="1"/>
  <c r="E214" i="1" a="1"/>
  <c r="E214" i="1" s="1"/>
  <c r="G214" i="1" s="1" a="1"/>
  <c r="G214" i="1" s="1"/>
  <c r="E215" i="1" a="1"/>
  <c r="E215" i="1" s="1"/>
  <c r="G215" i="1" s="1" a="1"/>
  <c r="G215" i="1" s="1"/>
  <c r="E216" i="1" a="1"/>
  <c r="E216" i="1" s="1"/>
  <c r="G216" i="1" s="1" a="1"/>
  <c r="G216" i="1" s="1"/>
  <c r="E217" i="1" a="1"/>
  <c r="E217" i="1" s="1"/>
  <c r="F217" i="1" s="1" a="1"/>
  <c r="F217" i="1" s="1"/>
  <c r="E218" i="1" a="1"/>
  <c r="E218" i="1"/>
  <c r="G218" i="1" s="1" a="1"/>
  <c r="G218" i="1" s="1"/>
  <c r="E219" i="1" a="1"/>
  <c r="E219" i="1" s="1"/>
  <c r="G219" i="1" s="1" a="1"/>
  <c r="G219" i="1" s="1"/>
  <c r="E220" i="1" a="1"/>
  <c r="E220" i="1" s="1"/>
  <c r="H220" i="1" s="1"/>
  <c r="E221" i="1" a="1"/>
  <c r="E221" i="1" s="1"/>
  <c r="E223" i="1" a="1"/>
  <c r="E223" i="1" s="1"/>
  <c r="E224" i="1" a="1"/>
  <c r="E224" i="1" s="1"/>
  <c r="G224" i="1" s="1" a="1"/>
  <c r="G224" i="1" s="1"/>
  <c r="E225" i="1" a="1"/>
  <c r="E225" i="1" s="1"/>
  <c r="E226" i="1" a="1"/>
  <c r="E226" i="1" s="1"/>
  <c r="H226" i="1" s="1"/>
  <c r="E227" i="1" a="1"/>
  <c r="E227" i="1" s="1"/>
  <c r="G227" i="1" s="1" a="1"/>
  <c r="G227" i="1" s="1"/>
  <c r="E228" i="1" a="1"/>
  <c r="E228" i="1" s="1"/>
  <c r="G228" i="1" s="1" a="1"/>
  <c r="G228" i="1" s="1"/>
  <c r="E229" i="1" a="1"/>
  <c r="E229" i="1" s="1"/>
  <c r="G229" i="1" s="1" a="1"/>
  <c r="G229" i="1" s="1"/>
  <c r="E230" i="1" a="1"/>
  <c r="E230" i="1" s="1"/>
  <c r="E231" i="1" a="1"/>
  <c r="E231" i="1" s="1"/>
  <c r="F231" i="1" s="1" a="1"/>
  <c r="F231" i="1" s="1"/>
  <c r="E232" i="1" a="1"/>
  <c r="E232" i="1" s="1"/>
  <c r="G232" i="1" s="1" a="1"/>
  <c r="G232" i="1" s="1"/>
  <c r="E233" i="1" a="1"/>
  <c r="E233" i="1" s="1"/>
  <c r="E234" i="1" a="1"/>
  <c r="E234" i="1" s="1"/>
  <c r="E235" i="1" a="1"/>
  <c r="E235" i="1" s="1"/>
  <c r="E236" i="1" a="1"/>
  <c r="E236" i="1" s="1"/>
  <c r="G236" i="1" s="1" a="1"/>
  <c r="G236" i="1" s="1"/>
  <c r="E237" i="1" a="1"/>
  <c r="E237" i="1" s="1"/>
  <c r="G237" i="1" s="1" a="1"/>
  <c r="G237" i="1" s="1"/>
  <c r="E238" i="1" a="1"/>
  <c r="E238" i="1" s="1"/>
  <c r="H238" i="1" s="1"/>
  <c r="E239" i="1" a="1"/>
  <c r="E239" i="1" s="1"/>
  <c r="F239" i="1" s="1" a="1"/>
  <c r="F239" i="1" s="1"/>
  <c r="E240" i="1" a="1"/>
  <c r="E240" i="1" s="1"/>
  <c r="F240" i="1" s="1" a="1"/>
  <c r="F240" i="1" s="1"/>
  <c r="E241" i="1" a="1"/>
  <c r="E241" i="1" s="1"/>
  <c r="E242" i="1" a="1"/>
  <c r="E242" i="1" s="1"/>
  <c r="F242" i="1" s="1" a="1"/>
  <c r="F242" i="1" s="1"/>
  <c r="E243" i="1" a="1"/>
  <c r="E243" i="1" s="1"/>
  <c r="E244" i="1" a="1"/>
  <c r="E244" i="1" s="1"/>
  <c r="G244" i="1" s="1" a="1"/>
  <c r="G244" i="1" s="1"/>
  <c r="E245" i="1" a="1"/>
  <c r="E245" i="1" s="1"/>
  <c r="E246" i="1" a="1"/>
  <c r="E246" i="1"/>
  <c r="F246" i="1" s="1" a="1"/>
  <c r="F246" i="1" s="1"/>
  <c r="E247" i="1" a="1"/>
  <c r="E247" i="1" s="1"/>
  <c r="F247" i="1" s="1" a="1"/>
  <c r="F247" i="1" s="1"/>
  <c r="E248" i="1" a="1"/>
  <c r="E248" i="1" s="1"/>
  <c r="H248" i="1" s="1"/>
  <c r="E2" i="1" a="1"/>
  <c r="E2" i="1" s="1"/>
  <c r="G2" i="1" s="1" a="1"/>
  <c r="G2" i="1" s="1"/>
  <c r="F200" i="1" l="1" a="1"/>
  <c r="F200" i="1" s="1"/>
  <c r="G200" i="1" a="1"/>
  <c r="G200" i="1" s="1"/>
  <c r="H200" i="1"/>
  <c r="F229" i="1" a="1"/>
  <c r="F229" i="1" s="1"/>
  <c r="H107" i="1"/>
  <c r="G86" i="1" a="1"/>
  <c r="G86" i="1" s="1"/>
  <c r="G11" i="1" a="1"/>
  <c r="G11" i="1" s="1"/>
  <c r="H138" i="1"/>
  <c r="H86" i="1"/>
  <c r="G87" i="1" a="1"/>
  <c r="G87" i="1" s="1"/>
  <c r="F237" i="1" a="1"/>
  <c r="F237" i="1" s="1"/>
  <c r="F11" i="1" a="1"/>
  <c r="F11" i="1" s="1"/>
  <c r="H162" i="1"/>
  <c r="F156" i="1" a="1"/>
  <c r="F156" i="1" s="1"/>
  <c r="G138" i="1" a="1"/>
  <c r="G138" i="1" s="1"/>
  <c r="G247" i="1" a="1"/>
  <c r="G247" i="1" s="1"/>
  <c r="F128" i="1" a="1"/>
  <c r="F128" i="1" s="1"/>
  <c r="G105" i="1" a="1"/>
  <c r="G105" i="1" s="1"/>
  <c r="F107" i="1" a="1"/>
  <c r="F107" i="1" s="1"/>
  <c r="H83" i="1"/>
  <c r="F78" i="1" a="1"/>
  <c r="F78" i="1" s="1"/>
  <c r="H35" i="1"/>
  <c r="F129" i="1" a="1"/>
  <c r="F129" i="1" s="1"/>
  <c r="H105" i="1"/>
  <c r="F58" i="1" a="1"/>
  <c r="F58" i="1" s="1"/>
  <c r="H13" i="1"/>
  <c r="F222" i="1" a="1"/>
  <c r="F222" i="1" s="1"/>
  <c r="F182" i="1" a="1"/>
  <c r="F182" i="1" s="1"/>
  <c r="G128" i="1" a="1"/>
  <c r="G128" i="1" s="1"/>
  <c r="G46" i="1" a="1"/>
  <c r="G46" i="1" s="1"/>
  <c r="G27" i="1" a="1"/>
  <c r="G27" i="1" s="1"/>
  <c r="G222" i="1" a="1"/>
  <c r="G222" i="1" s="1"/>
  <c r="F35" i="1" a="1"/>
  <c r="F35" i="1" s="1"/>
  <c r="H237" i="1"/>
  <c r="F238" i="1" a="1"/>
  <c r="F238" i="1" s="1"/>
  <c r="F13" i="1" a="1"/>
  <c r="F13" i="1" s="1"/>
  <c r="H236" i="1"/>
  <c r="F160" i="1" a="1"/>
  <c r="F160" i="1" s="1"/>
  <c r="H160" i="1"/>
  <c r="G160" i="1" a="1"/>
  <c r="G160" i="1" s="1"/>
  <c r="H55" i="1"/>
  <c r="F55" i="1" a="1"/>
  <c r="F55" i="1" s="1"/>
  <c r="G55" i="1" a="1"/>
  <c r="G55" i="1" s="1"/>
  <c r="H117" i="1"/>
  <c r="F117" i="1" a="1"/>
  <c r="F117" i="1" s="1"/>
  <c r="G49" i="1" a="1"/>
  <c r="G49" i="1" s="1"/>
  <c r="H49" i="1"/>
  <c r="H96" i="1"/>
  <c r="F96" i="1" a="1"/>
  <c r="F96" i="1" s="1"/>
  <c r="G96" i="1" a="1"/>
  <c r="G96" i="1" s="1"/>
  <c r="G209" i="1" a="1"/>
  <c r="G209" i="1" s="1"/>
  <c r="H209" i="1"/>
  <c r="F209" i="1" a="1"/>
  <c r="F209" i="1" s="1"/>
  <c r="G80" i="1" a="1"/>
  <c r="G80" i="1" s="1"/>
  <c r="H80" i="1"/>
  <c r="H205" i="1"/>
  <c r="G205" i="1" a="1"/>
  <c r="G205" i="1" s="1"/>
  <c r="F205" i="1" a="1"/>
  <c r="F205" i="1" s="1"/>
  <c r="H37" i="1"/>
  <c r="G37" i="1" a="1"/>
  <c r="G37" i="1" s="1"/>
  <c r="F37" i="1" a="1"/>
  <c r="F37" i="1" s="1"/>
  <c r="G116" i="1" a="1"/>
  <c r="G116" i="1" s="1"/>
  <c r="H116" i="1"/>
  <c r="F116" i="1" a="1"/>
  <c r="F116" i="1" s="1"/>
  <c r="G48" i="1" a="1"/>
  <c r="G48" i="1" s="1"/>
  <c r="H48" i="1"/>
  <c r="F191" i="1" a="1"/>
  <c r="F191" i="1" s="1"/>
  <c r="G191" i="1" a="1"/>
  <c r="G191" i="1" s="1"/>
  <c r="F190" i="1" a="1"/>
  <c r="F190" i="1" s="1"/>
  <c r="F187" i="1" a="1"/>
  <c r="F187" i="1" s="1"/>
  <c r="F98" i="1" a="1"/>
  <c r="F98" i="1" s="1"/>
  <c r="F36" i="1" a="1"/>
  <c r="F36" i="1" s="1"/>
  <c r="G108" i="1" a="1"/>
  <c r="G108" i="1" s="1"/>
  <c r="G59" i="1" a="1"/>
  <c r="G59" i="1" s="1"/>
  <c r="H171" i="1"/>
  <c r="H99" i="1"/>
  <c r="H18" i="1"/>
  <c r="F155" i="1" a="1"/>
  <c r="F155" i="1" s="1"/>
  <c r="F59" i="1" a="1"/>
  <c r="F59" i="1" s="1"/>
  <c r="H228" i="1"/>
  <c r="F146" i="1" a="1"/>
  <c r="F146" i="1" s="1"/>
  <c r="F54" i="1" a="1"/>
  <c r="F54" i="1" s="1"/>
  <c r="G171" i="1" a="1"/>
  <c r="G171" i="1" s="1"/>
  <c r="H193" i="1"/>
  <c r="G26" i="1" a="1"/>
  <c r="G26" i="1" s="1"/>
  <c r="H28" i="1"/>
  <c r="F131" i="1" a="1"/>
  <c r="F131" i="1" s="1"/>
  <c r="G226" i="1" a="1"/>
  <c r="G226" i="1" s="1"/>
  <c r="G146" i="1" a="1"/>
  <c r="G146" i="1" s="1"/>
  <c r="G58" i="1" a="1"/>
  <c r="G58" i="1" s="1"/>
  <c r="H98" i="1"/>
  <c r="H17" i="1"/>
  <c r="F183" i="1" a="1"/>
  <c r="F183" i="1" s="1"/>
  <c r="F34" i="1" a="1"/>
  <c r="F34" i="1" s="1"/>
  <c r="F28" i="1" a="1"/>
  <c r="F28" i="1" s="1"/>
  <c r="G212" i="1" a="1"/>
  <c r="G212" i="1" s="1"/>
  <c r="G56" i="1" a="1"/>
  <c r="G56" i="1" s="1"/>
  <c r="F236" i="1" a="1"/>
  <c r="F236" i="1" s="1"/>
  <c r="F19" i="1" a="1"/>
  <c r="F19" i="1" s="1"/>
  <c r="G141" i="1" a="1"/>
  <c r="G141" i="1" s="1"/>
  <c r="H2" i="1"/>
  <c r="H155" i="1"/>
  <c r="H12" i="1"/>
  <c r="F166" i="1" a="1"/>
  <c r="F166" i="1" s="1"/>
  <c r="F118" i="1" a="1"/>
  <c r="F118" i="1" s="1"/>
  <c r="H141" i="1"/>
  <c r="H68" i="1"/>
  <c r="F227" i="1" a="1"/>
  <c r="F227" i="1" s="1"/>
  <c r="F66" i="1" a="1"/>
  <c r="F66" i="1" s="1"/>
  <c r="F12" i="1" a="1"/>
  <c r="F12" i="1" s="1"/>
  <c r="G193" i="1" a="1"/>
  <c r="G193" i="1" s="1"/>
  <c r="G89" i="1" a="1"/>
  <c r="G89" i="1" s="1"/>
  <c r="G47" i="1" a="1"/>
  <c r="G47" i="1" s="1"/>
  <c r="H229" i="1"/>
  <c r="H67" i="1"/>
  <c r="H66" i="1"/>
  <c r="F226" i="1" a="1"/>
  <c r="F226" i="1" s="1"/>
  <c r="F110" i="1" a="1"/>
  <c r="F110" i="1" s="1"/>
  <c r="G120" i="1" a="1"/>
  <c r="G120" i="1" s="1"/>
  <c r="F56" i="1" a="1"/>
  <c r="F56" i="1" s="1"/>
  <c r="G246" i="1" a="1"/>
  <c r="G246" i="1" s="1"/>
  <c r="G187" i="1" a="1"/>
  <c r="G187" i="1" s="1"/>
  <c r="G118" i="1" a="1"/>
  <c r="G118" i="1" s="1"/>
  <c r="H195" i="1"/>
  <c r="H47" i="1"/>
  <c r="F153" i="1" a="1"/>
  <c r="F153" i="1" s="1"/>
  <c r="H227" i="1"/>
  <c r="G190" i="1" a="1"/>
  <c r="G190" i="1" s="1"/>
  <c r="G45" i="1" a="1"/>
  <c r="G45" i="1" s="1"/>
  <c r="F148" i="1" a="1"/>
  <c r="F148" i="1" s="1"/>
  <c r="F109" i="1" a="1"/>
  <c r="F109" i="1" s="1"/>
  <c r="G110" i="1" a="1"/>
  <c r="G110" i="1" s="1"/>
  <c r="H194" i="1"/>
  <c r="H108" i="1"/>
  <c r="H43" i="1"/>
  <c r="F2" i="1" a="1"/>
  <c r="F2" i="1" s="1"/>
  <c r="F134" i="1" a="1"/>
  <c r="F134" i="1" s="1"/>
  <c r="F43" i="1" a="1"/>
  <c r="F43" i="1" s="1"/>
  <c r="G231" i="1" a="1"/>
  <c r="G231" i="1" s="1"/>
  <c r="G166" i="1" a="1"/>
  <c r="G166" i="1" s="1"/>
  <c r="G109" i="1" a="1"/>
  <c r="G109" i="1" s="1"/>
  <c r="H106" i="1"/>
  <c r="H34" i="1"/>
  <c r="F159" i="1" a="1"/>
  <c r="F159" i="1" s="1"/>
  <c r="G159" i="1" a="1"/>
  <c r="G159" i="1" s="1"/>
  <c r="H159" i="1"/>
  <c r="H95" i="1"/>
  <c r="F95" i="1" a="1"/>
  <c r="F95" i="1" s="1"/>
  <c r="G95" i="1" a="1"/>
  <c r="G95" i="1" s="1"/>
  <c r="F14" i="1" a="1"/>
  <c r="F14" i="1" s="1"/>
  <c r="G14" i="1" a="1"/>
  <c r="G14" i="1" s="1"/>
  <c r="H14" i="1"/>
  <c r="H243" i="1"/>
  <c r="F243" i="1" a="1"/>
  <c r="F243" i="1" s="1"/>
  <c r="G243" i="1" a="1"/>
  <c r="G243" i="1" s="1"/>
  <c r="H180" i="1"/>
  <c r="F180" i="1" a="1"/>
  <c r="F180" i="1" s="1"/>
  <c r="G180" i="1" a="1"/>
  <c r="G180" i="1" s="1"/>
  <c r="F44" i="1" a="1"/>
  <c r="F44" i="1" s="1"/>
  <c r="H44" i="1"/>
  <c r="G44" i="1" a="1"/>
  <c r="G44" i="1" s="1"/>
  <c r="H25" i="1"/>
  <c r="G25" i="1" a="1"/>
  <c r="G25" i="1" s="1"/>
  <c r="F25" i="1" a="1"/>
  <c r="F25" i="1" s="1"/>
  <c r="H22" i="1"/>
  <c r="F22" i="1" a="1"/>
  <c r="F22" i="1" s="1"/>
  <c r="G22" i="1" a="1"/>
  <c r="G22" i="1" s="1"/>
  <c r="H202" i="1"/>
  <c r="G202" i="1" a="1"/>
  <c r="G202" i="1" s="1"/>
  <c r="F202" i="1" a="1"/>
  <c r="F202" i="1" s="1"/>
  <c r="G132" i="1" a="1"/>
  <c r="G132" i="1" s="1"/>
  <c r="H132" i="1"/>
  <c r="F132" i="1" a="1"/>
  <c r="F132" i="1" s="1"/>
  <c r="H213" i="1"/>
  <c r="F213" i="1" a="1"/>
  <c r="F213" i="1" s="1"/>
  <c r="G213" i="1" a="1"/>
  <c r="G213" i="1" s="1"/>
  <c r="F52" i="1" a="1"/>
  <c r="F52" i="1" s="1"/>
  <c r="H52" i="1"/>
  <c r="G52" i="1" a="1"/>
  <c r="G52" i="1" s="1"/>
  <c r="F140" i="1" a="1"/>
  <c r="F140" i="1" s="1"/>
  <c r="H140" i="1"/>
  <c r="G140" i="1" a="1"/>
  <c r="G140" i="1" s="1"/>
  <c r="H24" i="1"/>
  <c r="F24" i="1" a="1"/>
  <c r="F24" i="1" s="1"/>
  <c r="G24" i="1" a="1"/>
  <c r="G24" i="1" s="1"/>
  <c r="G33" i="1" a="1"/>
  <c r="G33" i="1" s="1"/>
  <c r="H33" i="1"/>
  <c r="F33" i="1" a="1"/>
  <c r="F33" i="1" s="1"/>
  <c r="G32" i="1" a="1"/>
  <c r="G32" i="1" s="1"/>
  <c r="F32" i="1" a="1"/>
  <c r="F32" i="1" s="1"/>
  <c r="H32" i="1"/>
  <c r="F65" i="1" a="1"/>
  <c r="F65" i="1" s="1"/>
  <c r="G65" i="1" a="1"/>
  <c r="G65" i="1" s="1"/>
  <c r="H65" i="1"/>
  <c r="H225" i="1"/>
  <c r="G225" i="1" a="1"/>
  <c r="G225" i="1" s="1"/>
  <c r="F225" i="1" a="1"/>
  <c r="F225" i="1" s="1"/>
  <c r="H73" i="1"/>
  <c r="G73" i="1" a="1"/>
  <c r="G73" i="1" s="1"/>
  <c r="F73" i="1" a="1"/>
  <c r="F73" i="1" s="1"/>
  <c r="H84" i="1"/>
  <c r="G84" i="1" a="1"/>
  <c r="G84" i="1" s="1"/>
  <c r="F84" i="1" a="1"/>
  <c r="F84" i="1" s="1"/>
  <c r="G161" i="1" a="1"/>
  <c r="G161" i="1" s="1"/>
  <c r="F161" i="1" a="1"/>
  <c r="F161" i="1" s="1"/>
  <c r="H161" i="1"/>
  <c r="G172" i="1" a="1"/>
  <c r="G172" i="1" s="1"/>
  <c r="H172" i="1"/>
  <c r="F172" i="1" a="1"/>
  <c r="F172" i="1" s="1"/>
  <c r="H192" i="1"/>
  <c r="G192" i="1" a="1"/>
  <c r="G192" i="1" s="1"/>
  <c r="F192" i="1" a="1"/>
  <c r="F192" i="1" s="1"/>
  <c r="G181" i="1" a="1"/>
  <c r="G181" i="1" s="1"/>
  <c r="H181" i="1"/>
  <c r="F181" i="1" a="1"/>
  <c r="F181" i="1" s="1"/>
  <c r="H169" i="1"/>
  <c r="G169" i="1" a="1"/>
  <c r="G169" i="1" s="1"/>
  <c r="F169" i="1" a="1"/>
  <c r="F169" i="1" s="1"/>
  <c r="H201" i="1"/>
  <c r="F201" i="1" a="1"/>
  <c r="F201" i="1" s="1"/>
  <c r="G201" i="1" a="1"/>
  <c r="G201" i="1" s="1"/>
  <c r="F63" i="1" a="1"/>
  <c r="F63" i="1" s="1"/>
  <c r="H63" i="1"/>
  <c r="G63" i="1" a="1"/>
  <c r="G63" i="1" s="1"/>
  <c r="G235" i="1" a="1"/>
  <c r="G235" i="1" s="1"/>
  <c r="F235" i="1" a="1"/>
  <c r="F235" i="1" s="1"/>
  <c r="H235" i="1"/>
  <c r="H223" i="1"/>
  <c r="F223" i="1" a="1"/>
  <c r="F223" i="1" s="1"/>
  <c r="G223" i="1" a="1"/>
  <c r="G223" i="1" s="1"/>
  <c r="H234" i="1"/>
  <c r="F234" i="1" a="1"/>
  <c r="F234" i="1" s="1"/>
  <c r="G234" i="1" a="1"/>
  <c r="G234" i="1" s="1"/>
  <c r="G179" i="1" a="1"/>
  <c r="G179" i="1" s="1"/>
  <c r="F179" i="1" a="1"/>
  <c r="F179" i="1" s="1"/>
  <c r="F41" i="1" a="1"/>
  <c r="F41" i="1" s="1"/>
  <c r="H41" i="1"/>
  <c r="H158" i="1"/>
  <c r="G158" i="1" a="1"/>
  <c r="G158" i="1" s="1"/>
  <c r="H114" i="1"/>
  <c r="F114" i="1" a="1"/>
  <c r="F114" i="1" s="1"/>
  <c r="H93" i="1"/>
  <c r="F93" i="1" a="1"/>
  <c r="F93" i="1" s="1"/>
  <c r="G167" i="1" a="1"/>
  <c r="G167" i="1" s="1"/>
  <c r="H167" i="1"/>
  <c r="G233" i="1" a="1"/>
  <c r="G233" i="1" s="1"/>
  <c r="F233" i="1" a="1"/>
  <c r="F233" i="1" s="1"/>
  <c r="F137" i="1" a="1"/>
  <c r="F137" i="1" s="1"/>
  <c r="H137" i="1"/>
  <c r="G137" i="1" a="1"/>
  <c r="G137" i="1" s="1"/>
  <c r="H72" i="1"/>
  <c r="G72" i="1" a="1"/>
  <c r="G72" i="1" s="1"/>
  <c r="G242" i="1" a="1"/>
  <c r="G242" i="1" s="1"/>
  <c r="H242" i="1"/>
  <c r="F147" i="1" a="1"/>
  <c r="F147" i="1" s="1"/>
  <c r="H147" i="1"/>
  <c r="G147" i="1" a="1"/>
  <c r="G147" i="1" s="1"/>
  <c r="H9" i="1"/>
  <c r="G9" i="1" a="1"/>
  <c r="G9" i="1" s="1"/>
  <c r="F9" i="1" a="1"/>
  <c r="F9" i="1" s="1"/>
  <c r="F20" i="1" a="1"/>
  <c r="F20" i="1" s="1"/>
  <c r="H20" i="1"/>
  <c r="G20" i="1" a="1"/>
  <c r="G20" i="1" s="1"/>
  <c r="F94" i="1" a="1"/>
  <c r="F94" i="1" s="1"/>
  <c r="H240" i="1"/>
  <c r="G240" i="1" a="1"/>
  <c r="G240" i="1" s="1"/>
  <c r="G230" i="1" a="1"/>
  <c r="G230" i="1" s="1"/>
  <c r="H230" i="1"/>
  <c r="F5" i="1" a="1"/>
  <c r="F5" i="1" s="1"/>
  <c r="H5" i="1"/>
  <c r="F219" i="1" a="1"/>
  <c r="F219" i="1" s="1"/>
  <c r="F186" i="1" a="1"/>
  <c r="F186" i="1" s="1"/>
  <c r="H186" i="1"/>
  <c r="G186" i="1" a="1"/>
  <c r="G186" i="1" s="1"/>
  <c r="H165" i="1"/>
  <c r="G165" i="1" a="1"/>
  <c r="G165" i="1" s="1"/>
  <c r="G185" i="1" a="1"/>
  <c r="G185" i="1" s="1"/>
  <c r="F185" i="1" a="1"/>
  <c r="F185" i="1" s="1"/>
  <c r="H185" i="1"/>
  <c r="G10" i="1" a="1"/>
  <c r="G10" i="1" s="1"/>
  <c r="H10" i="1"/>
  <c r="F221" i="1" a="1"/>
  <c r="F221" i="1" s="1"/>
  <c r="H221" i="1"/>
  <c r="G178" i="1" a="1"/>
  <c r="G178" i="1" s="1"/>
  <c r="F124" i="1" a="1"/>
  <c r="F124" i="1" s="1"/>
  <c r="G124" i="1" a="1"/>
  <c r="G124" i="1" s="1"/>
  <c r="F113" i="1" a="1"/>
  <c r="F113" i="1" s="1"/>
  <c r="H113" i="1"/>
  <c r="G113" i="1" a="1"/>
  <c r="G113" i="1" s="1"/>
  <c r="H198" i="1"/>
  <c r="F208" i="1" a="1"/>
  <c r="F208" i="1" s="1"/>
  <c r="G208" i="1" a="1"/>
  <c r="G208" i="1" s="1"/>
  <c r="H208" i="1"/>
  <c r="G133" i="1" a="1"/>
  <c r="G133" i="1" s="1"/>
  <c r="H133" i="1"/>
  <c r="G60" i="1" a="1"/>
  <c r="G60" i="1" s="1"/>
  <c r="H60" i="1"/>
  <c r="G29" i="1" a="1"/>
  <c r="G29" i="1" s="1"/>
  <c r="F29" i="1" a="1"/>
  <c r="F29" i="1" s="1"/>
  <c r="G210" i="1" a="1"/>
  <c r="G210" i="1" s="1"/>
  <c r="G154" i="1" a="1"/>
  <c r="G154" i="1" s="1"/>
  <c r="F154" i="1" a="1"/>
  <c r="F154" i="1" s="1"/>
  <c r="G157" i="1" a="1"/>
  <c r="G157" i="1" s="1"/>
  <c r="G125" i="1" a="1"/>
  <c r="G125" i="1" s="1"/>
  <c r="G7" i="1" a="1"/>
  <c r="G7" i="1" s="1"/>
  <c r="H196" i="1"/>
  <c r="H103" i="1"/>
  <c r="F167" i="1" a="1"/>
  <c r="F167" i="1" s="1"/>
  <c r="F49" i="1" a="1"/>
  <c r="F49" i="1" s="1"/>
  <c r="H164" i="1"/>
  <c r="G164" i="1" a="1"/>
  <c r="G164" i="1" s="1"/>
  <c r="H7" i="1"/>
  <c r="F16" i="1" a="1"/>
  <c r="F16" i="1" s="1"/>
  <c r="G16" i="1" a="1"/>
  <c r="G16" i="1" s="1"/>
  <c r="G238" i="1" a="1"/>
  <c r="G238" i="1" s="1"/>
  <c r="G163" i="1" a="1"/>
  <c r="G163" i="1" s="1"/>
  <c r="F163" i="1" a="1"/>
  <c r="F163" i="1" s="1"/>
  <c r="H142" i="1"/>
  <c r="G142" i="1" a="1"/>
  <c r="G142" i="1" s="1"/>
  <c r="G130" i="1" a="1"/>
  <c r="G130" i="1" s="1"/>
  <c r="H130" i="1"/>
  <c r="F232" i="1" a="1"/>
  <c r="F232" i="1" s="1"/>
  <c r="F165" i="1" a="1"/>
  <c r="F165" i="1" s="1"/>
  <c r="F123" i="1" a="1"/>
  <c r="F123" i="1" s="1"/>
  <c r="F106" i="1" a="1"/>
  <c r="F106" i="1" s="1"/>
  <c r="F85" i="1" a="1"/>
  <c r="F85" i="1" s="1"/>
  <c r="F67" i="1" a="1"/>
  <c r="F67" i="1" s="1"/>
  <c r="F46" i="1" a="1"/>
  <c r="F46" i="1" s="1"/>
  <c r="G221" i="1" a="1"/>
  <c r="G221" i="1" s="1"/>
  <c r="G119" i="1" a="1"/>
  <c r="G119" i="1" s="1"/>
  <c r="G104" i="1" a="1"/>
  <c r="G104" i="1" s="1"/>
  <c r="G68" i="1" a="1"/>
  <c r="G68" i="1" s="1"/>
  <c r="G54" i="1" a="1"/>
  <c r="G54" i="1" s="1"/>
  <c r="G36" i="1" a="1"/>
  <c r="G36" i="1" s="1"/>
  <c r="H219" i="1"/>
  <c r="H191" i="1"/>
  <c r="H157" i="1"/>
  <c r="H124" i="1"/>
  <c r="H31" i="1"/>
  <c r="G31" i="1" a="1"/>
  <c r="G31" i="1" s="1"/>
  <c r="H210" i="1"/>
  <c r="G115" i="1" a="1"/>
  <c r="G115" i="1" s="1"/>
  <c r="F115" i="1" a="1"/>
  <c r="F115" i="1" s="1"/>
  <c r="H115" i="1"/>
  <c r="F21" i="1" a="1"/>
  <c r="F21" i="1" s="1"/>
  <c r="F188" i="1" a="1"/>
  <c r="F188" i="1" s="1"/>
  <c r="H188" i="1"/>
  <c r="F50" i="1" a="1"/>
  <c r="F50" i="1" s="1"/>
  <c r="G50" i="1" a="1"/>
  <c r="G50" i="1" s="1"/>
  <c r="F197" i="1" a="1"/>
  <c r="F197" i="1" s="1"/>
  <c r="G197" i="1" a="1"/>
  <c r="G197" i="1" s="1"/>
  <c r="F189" i="1" a="1"/>
  <c r="F189" i="1" s="1"/>
  <c r="G177" i="1" a="1"/>
  <c r="G177" i="1" s="1"/>
  <c r="G93" i="1" a="1"/>
  <c r="G93" i="1" s="1"/>
  <c r="H233" i="1"/>
  <c r="H71" i="1"/>
  <c r="G102" i="1" a="1"/>
  <c r="G102" i="1" s="1"/>
  <c r="F102" i="1" a="1"/>
  <c r="F102" i="1" s="1"/>
  <c r="H92" i="1"/>
  <c r="G92" i="1" a="1"/>
  <c r="G92" i="1" s="1"/>
  <c r="F72" i="1" a="1"/>
  <c r="F72" i="1" s="1"/>
  <c r="G69" i="1" a="1"/>
  <c r="G69" i="1" s="1"/>
  <c r="F69" i="1" a="1"/>
  <c r="F69" i="1" s="1"/>
  <c r="F220" i="1" a="1"/>
  <c r="F220" i="1" s="1"/>
  <c r="F168" i="1" a="1"/>
  <c r="F168" i="1" s="1"/>
  <c r="F71" i="1" a="1"/>
  <c r="F71" i="1" s="1"/>
  <c r="H231" i="1"/>
  <c r="H135" i="1"/>
  <c r="G5" i="1" a="1"/>
  <c r="G5" i="1" s="1"/>
  <c r="H125" i="1"/>
  <c r="F151" i="1" a="1"/>
  <c r="F151" i="1" s="1"/>
  <c r="H151" i="1"/>
  <c r="H88" i="1"/>
  <c r="G88" i="1" a="1"/>
  <c r="G88" i="1" s="1"/>
  <c r="F88" i="1" a="1"/>
  <c r="F88" i="1" s="1"/>
  <c r="F77" i="1" a="1"/>
  <c r="F77" i="1" s="1"/>
  <c r="H77" i="1"/>
  <c r="H15" i="1"/>
  <c r="F15" i="1" a="1"/>
  <c r="F15" i="1" s="1"/>
  <c r="F216" i="1" a="1"/>
  <c r="F216" i="1" s="1"/>
  <c r="F199" i="1" a="1"/>
  <c r="F199" i="1" s="1"/>
  <c r="F164" i="1" a="1"/>
  <c r="F164" i="1" s="1"/>
  <c r="F144" i="1" a="1"/>
  <c r="F144" i="1" s="1"/>
  <c r="F122" i="1" a="1"/>
  <c r="F122" i="1" s="1"/>
  <c r="F26" i="1" a="1"/>
  <c r="F26" i="1" s="1"/>
  <c r="F10" i="1" a="1"/>
  <c r="F10" i="1" s="1"/>
  <c r="G220" i="1" a="1"/>
  <c r="G220" i="1" s="1"/>
  <c r="G151" i="1" a="1"/>
  <c r="G151" i="1" s="1"/>
  <c r="G53" i="1" a="1"/>
  <c r="G53" i="1" s="1"/>
  <c r="G21" i="1" a="1"/>
  <c r="G21" i="1" s="1"/>
  <c r="H218" i="1"/>
  <c r="H189" i="1"/>
  <c r="H156" i="1"/>
  <c r="H123" i="1"/>
  <c r="H136" i="1"/>
  <c r="F136" i="1" a="1"/>
  <c r="F136" i="1" s="1"/>
  <c r="G51" i="1" a="1"/>
  <c r="G51" i="1" s="1"/>
  <c r="F51" i="1" a="1"/>
  <c r="F51" i="1" s="1"/>
  <c r="G62" i="1" a="1"/>
  <c r="G62" i="1" s="1"/>
  <c r="H199" i="1"/>
  <c r="F6" i="1" a="1"/>
  <c r="F6" i="1" s="1"/>
  <c r="H6" i="1"/>
  <c r="H232" i="1"/>
  <c r="H70" i="1"/>
  <c r="G112" i="1" a="1"/>
  <c r="G112" i="1" s="1"/>
  <c r="F112" i="1" a="1"/>
  <c r="F112" i="1" s="1"/>
  <c r="H112" i="1"/>
  <c r="G101" i="1" a="1"/>
  <c r="G101" i="1" s="1"/>
  <c r="F101" i="1" a="1"/>
  <c r="F101" i="1" s="1"/>
  <c r="H239" i="1"/>
  <c r="G239" i="1" a="1"/>
  <c r="G239" i="1" s="1"/>
  <c r="F70" i="1" a="1"/>
  <c r="F70" i="1" s="1"/>
  <c r="F145" i="1" a="1"/>
  <c r="F145" i="1" s="1"/>
  <c r="F173" i="1" a="1"/>
  <c r="F173" i="1" s="1"/>
  <c r="H173" i="1"/>
  <c r="G204" i="1" a="1"/>
  <c r="G204" i="1" s="1"/>
  <c r="H204" i="1"/>
  <c r="H203" i="1"/>
  <c r="F203" i="1" a="1"/>
  <c r="F203" i="1" s="1"/>
  <c r="G97" i="1" a="1"/>
  <c r="G97" i="1" s="1"/>
  <c r="H97" i="1"/>
  <c r="F76" i="1" a="1"/>
  <c r="F76" i="1" s="1"/>
  <c r="H76" i="1"/>
  <c r="F248" i="1" a="1"/>
  <c r="F248" i="1" s="1"/>
  <c r="F215" i="1" a="1"/>
  <c r="F215" i="1" s="1"/>
  <c r="F196" i="1" a="1"/>
  <c r="F196" i="1" s="1"/>
  <c r="F142" i="1" a="1"/>
  <c r="F142" i="1" s="1"/>
  <c r="F121" i="1" a="1"/>
  <c r="F121" i="1" s="1"/>
  <c r="F104" i="1" a="1"/>
  <c r="F104" i="1" s="1"/>
  <c r="F62" i="1" a="1"/>
  <c r="F62" i="1" s="1"/>
  <c r="F45" i="1" a="1"/>
  <c r="F45" i="1" s="1"/>
  <c r="F8" i="1" a="1"/>
  <c r="F8" i="1" s="1"/>
  <c r="G183" i="1" a="1"/>
  <c r="G183" i="1" s="1"/>
  <c r="G168" i="1" a="1"/>
  <c r="G168" i="1" s="1"/>
  <c r="G99" i="1" a="1"/>
  <c r="G99" i="1" s="1"/>
  <c r="H216" i="1"/>
  <c r="H122" i="1"/>
  <c r="H89" i="1"/>
  <c r="H61" i="1"/>
  <c r="H29" i="1"/>
  <c r="H126" i="1"/>
  <c r="F126" i="1" a="1"/>
  <c r="F126" i="1" s="1"/>
  <c r="G82" i="1" a="1"/>
  <c r="G82" i="1" s="1"/>
  <c r="H82" i="1"/>
  <c r="H40" i="1"/>
  <c r="F40" i="1" a="1"/>
  <c r="F40" i="1" s="1"/>
  <c r="G40" i="1" a="1"/>
  <c r="G40" i="1" s="1"/>
  <c r="G94" i="1" a="1"/>
  <c r="G94" i="1" s="1"/>
  <c r="F241" i="1" a="1"/>
  <c r="F241" i="1" s="1"/>
  <c r="H241" i="1"/>
  <c r="G241" i="1" a="1"/>
  <c r="G241" i="1" s="1"/>
  <c r="G81" i="1" a="1"/>
  <c r="G81" i="1" s="1"/>
  <c r="F81" i="1" a="1"/>
  <c r="F81" i="1" s="1"/>
  <c r="G30" i="1" a="1"/>
  <c r="G30" i="1" s="1"/>
  <c r="F30" i="1" a="1"/>
  <c r="F30" i="1" s="1"/>
  <c r="G176" i="1" a="1"/>
  <c r="G176" i="1" s="1"/>
  <c r="F176" i="1" a="1"/>
  <c r="F176" i="1" s="1"/>
  <c r="G39" i="1" a="1"/>
  <c r="G39" i="1" s="1"/>
  <c r="F39" i="1" a="1"/>
  <c r="F39" i="1" s="1"/>
  <c r="H39" i="1"/>
  <c r="H207" i="1"/>
  <c r="G207" i="1" a="1"/>
  <c r="G207" i="1" s="1"/>
  <c r="F175" i="1" a="1"/>
  <c r="F175" i="1" s="1"/>
  <c r="G175" i="1" a="1"/>
  <c r="G175" i="1" s="1"/>
  <c r="H91" i="1"/>
  <c r="G91" i="1" a="1"/>
  <c r="G91" i="1" s="1"/>
  <c r="G41" i="1" a="1"/>
  <c r="G41" i="1" s="1"/>
  <c r="G6" i="1" a="1"/>
  <c r="G6" i="1" s="1"/>
  <c r="H134" i="1"/>
  <c r="H102" i="1"/>
  <c r="H8" i="1"/>
  <c r="F143" i="1" a="1"/>
  <c r="F143" i="1" s="1"/>
  <c r="G143" i="1" a="1"/>
  <c r="G143" i="1" s="1"/>
  <c r="H174" i="1"/>
  <c r="G174" i="1" a="1"/>
  <c r="G174" i="1" s="1"/>
  <c r="F174" i="1" a="1"/>
  <c r="F174" i="1" s="1"/>
  <c r="H152" i="1"/>
  <c r="G152" i="1" a="1"/>
  <c r="G152" i="1" s="1"/>
  <c r="F4" i="1" a="1"/>
  <c r="F4" i="1" s="1"/>
  <c r="H4" i="1"/>
  <c r="F48" i="1" a="1"/>
  <c r="F48" i="1" s="1"/>
  <c r="F150" i="1" a="1"/>
  <c r="F150" i="1" s="1"/>
  <c r="H150" i="1"/>
  <c r="G75" i="1" a="1"/>
  <c r="G75" i="1" s="1"/>
  <c r="F75" i="1" a="1"/>
  <c r="F75" i="1" s="1"/>
  <c r="H75" i="1"/>
  <c r="F230" i="1" a="1"/>
  <c r="F230" i="1" s="1"/>
  <c r="F214" i="1" a="1"/>
  <c r="F214" i="1" s="1"/>
  <c r="F195" i="1" a="1"/>
  <c r="F195" i="1" s="1"/>
  <c r="F103" i="1" a="1"/>
  <c r="F103" i="1" s="1"/>
  <c r="F82" i="1" a="1"/>
  <c r="F82" i="1" s="1"/>
  <c r="F61" i="1" a="1"/>
  <c r="F61" i="1" s="1"/>
  <c r="G182" i="1" a="1"/>
  <c r="G182" i="1" s="1"/>
  <c r="G131" i="1" a="1"/>
  <c r="G131" i="1" s="1"/>
  <c r="G117" i="1" a="1"/>
  <c r="G117" i="1" s="1"/>
  <c r="G83" i="1" a="1"/>
  <c r="G83" i="1" s="1"/>
  <c r="G17" i="1" a="1"/>
  <c r="G17" i="1" s="1"/>
  <c r="H247" i="1"/>
  <c r="H215" i="1"/>
  <c r="H154" i="1"/>
  <c r="H121" i="1"/>
  <c r="H87" i="1"/>
  <c r="H53" i="1"/>
  <c r="F111" i="1" a="1"/>
  <c r="F111" i="1" s="1"/>
  <c r="G111" i="1" a="1"/>
  <c r="G111" i="1" s="1"/>
  <c r="H111" i="1"/>
  <c r="F218" i="1" a="1"/>
  <c r="F218" i="1" s="1"/>
  <c r="G57" i="1" a="1"/>
  <c r="G57" i="1" s="1"/>
  <c r="H57" i="1"/>
  <c r="H23" i="1"/>
  <c r="G23" i="1" a="1"/>
  <c r="G23" i="1" s="1"/>
  <c r="F194" i="1" a="1"/>
  <c r="F194" i="1" s="1"/>
  <c r="F158" i="1" a="1"/>
  <c r="F158" i="1" s="1"/>
  <c r="F120" i="1" a="1"/>
  <c r="F120" i="1" s="1"/>
  <c r="H246" i="1"/>
  <c r="H214" i="1"/>
  <c r="H179" i="1"/>
  <c r="H153" i="1"/>
  <c r="H119" i="1"/>
  <c r="H27" i="1"/>
  <c r="H217" i="1"/>
  <c r="G217" i="1" a="1"/>
  <c r="G217" i="1" s="1"/>
  <c r="G90" i="1" a="1"/>
  <c r="G90" i="1" s="1"/>
  <c r="F90" i="1" a="1"/>
  <c r="F90" i="1" s="1"/>
  <c r="G245" i="1" a="1"/>
  <c r="G245" i="1" s="1"/>
  <c r="F245" i="1" a="1"/>
  <c r="F245" i="1" s="1"/>
  <c r="F149" i="1" a="1"/>
  <c r="F149" i="1" s="1"/>
  <c r="H149" i="1"/>
  <c r="H74" i="1"/>
  <c r="G74" i="1" a="1"/>
  <c r="G74" i="1" s="1"/>
  <c r="F64" i="1" a="1"/>
  <c r="F64" i="1" s="1"/>
  <c r="H64" i="1"/>
  <c r="G64" i="1" a="1"/>
  <c r="G64" i="1" s="1"/>
  <c r="F244" i="1" a="1"/>
  <c r="F244" i="1" s="1"/>
  <c r="H244" i="1"/>
  <c r="H224" i="1"/>
  <c r="F224" i="1" a="1"/>
  <c r="F224" i="1" s="1"/>
  <c r="G170" i="1" a="1"/>
  <c r="G170" i="1" s="1"/>
  <c r="H170" i="1"/>
  <c r="G139" i="1" a="1"/>
  <c r="G139" i="1" s="1"/>
  <c r="F139" i="1" a="1"/>
  <c r="F139" i="1" s="1"/>
  <c r="F127" i="1" a="1"/>
  <c r="F127" i="1" s="1"/>
  <c r="G127" i="1" a="1"/>
  <c r="G127" i="1" s="1"/>
  <c r="F228" i="1" a="1"/>
  <c r="F228" i="1" s="1"/>
  <c r="F177" i="1" a="1"/>
  <c r="F177" i="1" s="1"/>
  <c r="F60" i="1" a="1"/>
  <c r="F60" i="1" s="1"/>
  <c r="F23" i="1" a="1"/>
  <c r="F23" i="1" s="1"/>
  <c r="G248" i="1" a="1"/>
  <c r="G248" i="1" s="1"/>
  <c r="G148" i="1" a="1"/>
  <c r="G148" i="1" s="1"/>
  <c r="G15" i="1" a="1"/>
  <c r="G15" i="1" s="1"/>
  <c r="H245" i="1"/>
  <c r="H178" i="1"/>
  <c r="H145" i="1"/>
  <c r="H85" i="1"/>
  <c r="H51" i="1"/>
  <c r="G206" i="1" a="1"/>
  <c r="G206" i="1" s="1"/>
  <c r="H206" i="1"/>
  <c r="H184" i="1"/>
  <c r="G184" i="1" a="1"/>
  <c r="G184" i="1" s="1"/>
  <c r="F100" i="1" a="1"/>
  <c r="F100" i="1" s="1"/>
  <c r="H100" i="1"/>
  <c r="F79" i="1" a="1"/>
  <c r="F79" i="1" s="1"/>
  <c r="G79" i="1" a="1"/>
  <c r="G79" i="1" s="1"/>
  <c r="H79" i="1"/>
  <c r="H211" i="1"/>
  <c r="G211" i="1" a="1"/>
  <c r="G211" i="1" s="1"/>
  <c r="G42" i="1" a="1"/>
  <c r="G42" i="1" s="1"/>
  <c r="H42" i="1"/>
  <c r="F211" i="1" a="1"/>
  <c r="F211" i="1" s="1"/>
  <c r="F135" i="1" a="1"/>
  <c r="F135" i="1" s="1"/>
  <c r="F80" i="1" a="1"/>
  <c r="F80" i="1" s="1"/>
  <c r="G198" i="1" a="1"/>
  <c r="G198" i="1" s="1"/>
  <c r="G162" i="1" a="1"/>
  <c r="G162" i="1" s="1"/>
  <c r="G129" i="1" a="1"/>
  <c r="G129" i="1" s="1"/>
  <c r="G114" i="1" a="1"/>
  <c r="G114" i="1" s="1"/>
  <c r="G78" i="1" a="1"/>
  <c r="G78" i="1" s="1"/>
  <c r="H212" i="1"/>
  <c r="H144" i="1"/>
  <c r="H50" i="1"/>
  <c r="F18" i="1" a="1"/>
  <c r="F18" i="1" s="1"/>
  <c r="G19" i="1" a="1"/>
  <c r="G19" i="1" s="1"/>
  <c r="H38" i="1"/>
  <c r="H3" i="1"/>
  <c r="F3" i="1" a="1"/>
  <c r="F3" i="1" s="1"/>
  <c r="G38" i="1" a="1"/>
  <c r="G38"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988">
    <bk>
      <extLst>
        <ext uri="{3e2802c4-a4d2-4d8b-9148-e3be6c30e623}">
          <xlrd:rvb i="0"/>
        </ext>
      </extLst>
    </bk>
    <bk>
      <extLst>
        <ext uri="{3e2802c4-a4d2-4d8b-9148-e3be6c30e623}">
          <xlrd:rvb i="11"/>
        </ext>
      </extLst>
    </bk>
    <bk>
      <extLst>
        <ext uri="{3e2802c4-a4d2-4d8b-9148-e3be6c30e623}">
          <xlrd:rvb i="6"/>
        </ext>
      </extLst>
    </bk>
    <bk>
      <extLst>
        <ext uri="{3e2802c4-a4d2-4d8b-9148-e3be6c30e623}">
          <xlrd:rvb i="10"/>
        </ext>
      </extLst>
    </bk>
    <bk>
      <extLst>
        <ext uri="{3e2802c4-a4d2-4d8b-9148-e3be6c30e623}">
          <xlrd:rvb i="13"/>
        </ext>
      </extLst>
    </bk>
    <bk>
      <extLst>
        <ext uri="{3e2802c4-a4d2-4d8b-9148-e3be6c30e623}">
          <xlrd:rvb i="23"/>
        </ext>
      </extLst>
    </bk>
    <bk>
      <extLst>
        <ext uri="{3e2802c4-a4d2-4d8b-9148-e3be6c30e623}">
          <xlrd:rvb i="17"/>
        </ext>
      </extLst>
    </bk>
    <bk>
      <extLst>
        <ext uri="{3e2802c4-a4d2-4d8b-9148-e3be6c30e623}">
          <xlrd:rvb i="22"/>
        </ext>
      </extLst>
    </bk>
    <bk>
      <extLst>
        <ext uri="{3e2802c4-a4d2-4d8b-9148-e3be6c30e623}">
          <xlrd:rvb i="25"/>
        </ext>
      </extLst>
    </bk>
    <bk>
      <extLst>
        <ext uri="{3e2802c4-a4d2-4d8b-9148-e3be6c30e623}">
          <xlrd:rvb i="34"/>
        </ext>
      </extLst>
    </bk>
    <bk>
      <extLst>
        <ext uri="{3e2802c4-a4d2-4d8b-9148-e3be6c30e623}">
          <xlrd:rvb i="29"/>
        </ext>
      </extLst>
    </bk>
    <bk>
      <extLst>
        <ext uri="{3e2802c4-a4d2-4d8b-9148-e3be6c30e623}">
          <xlrd:rvb i="33"/>
        </ext>
      </extLst>
    </bk>
    <bk>
      <extLst>
        <ext uri="{3e2802c4-a4d2-4d8b-9148-e3be6c30e623}">
          <xlrd:rvb i="36"/>
        </ext>
      </extLst>
    </bk>
    <bk>
      <extLst>
        <ext uri="{3e2802c4-a4d2-4d8b-9148-e3be6c30e623}">
          <xlrd:rvb i="43"/>
        </ext>
      </extLst>
    </bk>
    <bk>
      <extLst>
        <ext uri="{3e2802c4-a4d2-4d8b-9148-e3be6c30e623}">
          <xlrd:rvb i="40"/>
        </ext>
      </extLst>
    </bk>
    <bk>
      <extLst>
        <ext uri="{3e2802c4-a4d2-4d8b-9148-e3be6c30e623}">
          <xlrd:rvb i="42"/>
        </ext>
      </extLst>
    </bk>
    <bk>
      <extLst>
        <ext uri="{3e2802c4-a4d2-4d8b-9148-e3be6c30e623}">
          <xlrd:rvb i="46"/>
        </ext>
      </extLst>
    </bk>
    <bk>
      <extLst>
        <ext uri="{3e2802c4-a4d2-4d8b-9148-e3be6c30e623}">
          <xlrd:rvb i="55"/>
        </ext>
      </extLst>
    </bk>
    <bk>
      <extLst>
        <ext uri="{3e2802c4-a4d2-4d8b-9148-e3be6c30e623}">
          <xlrd:rvb i="50"/>
        </ext>
      </extLst>
    </bk>
    <bk>
      <extLst>
        <ext uri="{3e2802c4-a4d2-4d8b-9148-e3be6c30e623}">
          <xlrd:rvb i="54"/>
        </ext>
      </extLst>
    </bk>
    <bk>
      <extLst>
        <ext uri="{3e2802c4-a4d2-4d8b-9148-e3be6c30e623}">
          <xlrd:rvb i="72"/>
        </ext>
      </extLst>
    </bk>
    <bk>
      <extLst>
        <ext uri="{3e2802c4-a4d2-4d8b-9148-e3be6c30e623}">
          <xlrd:rvb i="81"/>
        </ext>
      </extLst>
    </bk>
    <bk>
      <extLst>
        <ext uri="{3e2802c4-a4d2-4d8b-9148-e3be6c30e623}">
          <xlrd:rvb i="76"/>
        </ext>
      </extLst>
    </bk>
    <bk>
      <extLst>
        <ext uri="{3e2802c4-a4d2-4d8b-9148-e3be6c30e623}">
          <xlrd:rvb i="80"/>
        </ext>
      </extLst>
    </bk>
    <bk>
      <extLst>
        <ext uri="{3e2802c4-a4d2-4d8b-9148-e3be6c30e623}">
          <xlrd:rvb i="83"/>
        </ext>
      </extLst>
    </bk>
    <bk>
      <extLst>
        <ext uri="{3e2802c4-a4d2-4d8b-9148-e3be6c30e623}">
          <xlrd:rvb i="92"/>
        </ext>
      </extLst>
    </bk>
    <bk>
      <extLst>
        <ext uri="{3e2802c4-a4d2-4d8b-9148-e3be6c30e623}">
          <xlrd:rvb i="87"/>
        </ext>
      </extLst>
    </bk>
    <bk>
      <extLst>
        <ext uri="{3e2802c4-a4d2-4d8b-9148-e3be6c30e623}">
          <xlrd:rvb i="91"/>
        </ext>
      </extLst>
    </bk>
    <bk>
      <extLst>
        <ext uri="{3e2802c4-a4d2-4d8b-9148-e3be6c30e623}">
          <xlrd:rvb i="94"/>
        </ext>
      </extLst>
    </bk>
    <bk>
      <extLst>
        <ext uri="{3e2802c4-a4d2-4d8b-9148-e3be6c30e623}">
          <xlrd:rvb i="103"/>
        </ext>
      </extLst>
    </bk>
    <bk>
      <extLst>
        <ext uri="{3e2802c4-a4d2-4d8b-9148-e3be6c30e623}">
          <xlrd:rvb i="98"/>
        </ext>
      </extLst>
    </bk>
    <bk>
      <extLst>
        <ext uri="{3e2802c4-a4d2-4d8b-9148-e3be6c30e623}">
          <xlrd:rvb i="102"/>
        </ext>
      </extLst>
    </bk>
    <bk>
      <extLst>
        <ext uri="{3e2802c4-a4d2-4d8b-9148-e3be6c30e623}">
          <xlrd:rvb i="105"/>
        </ext>
      </extLst>
    </bk>
    <bk>
      <extLst>
        <ext uri="{3e2802c4-a4d2-4d8b-9148-e3be6c30e623}">
          <xlrd:rvb i="114"/>
        </ext>
      </extLst>
    </bk>
    <bk>
      <extLst>
        <ext uri="{3e2802c4-a4d2-4d8b-9148-e3be6c30e623}">
          <xlrd:rvb i="109"/>
        </ext>
      </extLst>
    </bk>
    <bk>
      <extLst>
        <ext uri="{3e2802c4-a4d2-4d8b-9148-e3be6c30e623}">
          <xlrd:rvb i="113"/>
        </ext>
      </extLst>
    </bk>
    <bk>
      <extLst>
        <ext uri="{3e2802c4-a4d2-4d8b-9148-e3be6c30e623}">
          <xlrd:rvb i="116"/>
        </ext>
      </extLst>
    </bk>
    <bk>
      <extLst>
        <ext uri="{3e2802c4-a4d2-4d8b-9148-e3be6c30e623}">
          <xlrd:rvb i="125"/>
        </ext>
      </extLst>
    </bk>
    <bk>
      <extLst>
        <ext uri="{3e2802c4-a4d2-4d8b-9148-e3be6c30e623}">
          <xlrd:rvb i="120"/>
        </ext>
      </extLst>
    </bk>
    <bk>
      <extLst>
        <ext uri="{3e2802c4-a4d2-4d8b-9148-e3be6c30e623}">
          <xlrd:rvb i="124"/>
        </ext>
      </extLst>
    </bk>
    <bk>
      <extLst>
        <ext uri="{3e2802c4-a4d2-4d8b-9148-e3be6c30e623}">
          <xlrd:rvb i="127"/>
        </ext>
      </extLst>
    </bk>
    <bk>
      <extLst>
        <ext uri="{3e2802c4-a4d2-4d8b-9148-e3be6c30e623}">
          <xlrd:rvb i="134"/>
        </ext>
      </extLst>
    </bk>
    <bk>
      <extLst>
        <ext uri="{3e2802c4-a4d2-4d8b-9148-e3be6c30e623}">
          <xlrd:rvb i="131"/>
        </ext>
      </extLst>
    </bk>
    <bk>
      <extLst>
        <ext uri="{3e2802c4-a4d2-4d8b-9148-e3be6c30e623}">
          <xlrd:rvb i="133"/>
        </ext>
      </extLst>
    </bk>
    <bk>
      <extLst>
        <ext uri="{3e2802c4-a4d2-4d8b-9148-e3be6c30e623}">
          <xlrd:rvb i="136"/>
        </ext>
      </extLst>
    </bk>
    <bk>
      <extLst>
        <ext uri="{3e2802c4-a4d2-4d8b-9148-e3be6c30e623}">
          <xlrd:rvb i="144"/>
        </ext>
      </extLst>
    </bk>
    <bk>
      <extLst>
        <ext uri="{3e2802c4-a4d2-4d8b-9148-e3be6c30e623}">
          <xlrd:rvb i="139"/>
        </ext>
      </extLst>
    </bk>
    <bk>
      <extLst>
        <ext uri="{3e2802c4-a4d2-4d8b-9148-e3be6c30e623}">
          <xlrd:rvb i="143"/>
        </ext>
      </extLst>
    </bk>
    <bk>
      <extLst>
        <ext uri="{3e2802c4-a4d2-4d8b-9148-e3be6c30e623}">
          <xlrd:rvb i="146"/>
        </ext>
      </extLst>
    </bk>
    <bk>
      <extLst>
        <ext uri="{3e2802c4-a4d2-4d8b-9148-e3be6c30e623}">
          <xlrd:rvb i="153"/>
        </ext>
      </extLst>
    </bk>
    <bk>
      <extLst>
        <ext uri="{3e2802c4-a4d2-4d8b-9148-e3be6c30e623}">
          <xlrd:rvb i="150"/>
        </ext>
      </extLst>
    </bk>
    <bk>
      <extLst>
        <ext uri="{3e2802c4-a4d2-4d8b-9148-e3be6c30e623}">
          <xlrd:rvb i="152"/>
        </ext>
      </extLst>
    </bk>
    <bk>
      <extLst>
        <ext uri="{3e2802c4-a4d2-4d8b-9148-e3be6c30e623}">
          <xlrd:rvb i="155"/>
        </ext>
      </extLst>
    </bk>
    <bk>
      <extLst>
        <ext uri="{3e2802c4-a4d2-4d8b-9148-e3be6c30e623}">
          <xlrd:rvb i="163"/>
        </ext>
      </extLst>
    </bk>
    <bk>
      <extLst>
        <ext uri="{3e2802c4-a4d2-4d8b-9148-e3be6c30e623}">
          <xlrd:rvb i="159"/>
        </ext>
      </extLst>
    </bk>
    <bk>
      <extLst>
        <ext uri="{3e2802c4-a4d2-4d8b-9148-e3be6c30e623}">
          <xlrd:rvb i="162"/>
        </ext>
      </extLst>
    </bk>
    <bk>
      <extLst>
        <ext uri="{3e2802c4-a4d2-4d8b-9148-e3be6c30e623}">
          <xlrd:rvb i="165"/>
        </ext>
      </extLst>
    </bk>
    <bk>
      <extLst>
        <ext uri="{3e2802c4-a4d2-4d8b-9148-e3be6c30e623}">
          <xlrd:rvb i="173"/>
        </ext>
      </extLst>
    </bk>
    <bk>
      <extLst>
        <ext uri="{3e2802c4-a4d2-4d8b-9148-e3be6c30e623}">
          <xlrd:rvb i="168"/>
        </ext>
      </extLst>
    </bk>
    <bk>
      <extLst>
        <ext uri="{3e2802c4-a4d2-4d8b-9148-e3be6c30e623}">
          <xlrd:rvb i="172"/>
        </ext>
      </extLst>
    </bk>
    <bk>
      <extLst>
        <ext uri="{3e2802c4-a4d2-4d8b-9148-e3be6c30e623}">
          <xlrd:rvb i="175"/>
        </ext>
      </extLst>
    </bk>
    <bk>
      <extLst>
        <ext uri="{3e2802c4-a4d2-4d8b-9148-e3be6c30e623}">
          <xlrd:rvb i="182"/>
        </ext>
      </extLst>
    </bk>
    <bk>
      <extLst>
        <ext uri="{3e2802c4-a4d2-4d8b-9148-e3be6c30e623}">
          <xlrd:rvb i="179"/>
        </ext>
      </extLst>
    </bk>
    <bk>
      <extLst>
        <ext uri="{3e2802c4-a4d2-4d8b-9148-e3be6c30e623}">
          <xlrd:rvb i="181"/>
        </ext>
      </extLst>
    </bk>
    <bk>
      <extLst>
        <ext uri="{3e2802c4-a4d2-4d8b-9148-e3be6c30e623}">
          <xlrd:rvb i="184"/>
        </ext>
      </extLst>
    </bk>
    <bk>
      <extLst>
        <ext uri="{3e2802c4-a4d2-4d8b-9148-e3be6c30e623}">
          <xlrd:rvb i="193"/>
        </ext>
      </extLst>
    </bk>
    <bk>
      <extLst>
        <ext uri="{3e2802c4-a4d2-4d8b-9148-e3be6c30e623}">
          <xlrd:rvb i="188"/>
        </ext>
      </extLst>
    </bk>
    <bk>
      <extLst>
        <ext uri="{3e2802c4-a4d2-4d8b-9148-e3be6c30e623}">
          <xlrd:rvb i="192"/>
        </ext>
      </extLst>
    </bk>
    <bk>
      <extLst>
        <ext uri="{3e2802c4-a4d2-4d8b-9148-e3be6c30e623}">
          <xlrd:rvb i="195"/>
        </ext>
      </extLst>
    </bk>
    <bk>
      <extLst>
        <ext uri="{3e2802c4-a4d2-4d8b-9148-e3be6c30e623}">
          <xlrd:rvb i="202"/>
        </ext>
      </extLst>
    </bk>
    <bk>
      <extLst>
        <ext uri="{3e2802c4-a4d2-4d8b-9148-e3be6c30e623}">
          <xlrd:rvb i="199"/>
        </ext>
      </extLst>
    </bk>
    <bk>
      <extLst>
        <ext uri="{3e2802c4-a4d2-4d8b-9148-e3be6c30e623}">
          <xlrd:rvb i="201"/>
        </ext>
      </extLst>
    </bk>
    <bk>
      <extLst>
        <ext uri="{3e2802c4-a4d2-4d8b-9148-e3be6c30e623}">
          <xlrd:rvb i="204"/>
        </ext>
      </extLst>
    </bk>
    <bk>
      <extLst>
        <ext uri="{3e2802c4-a4d2-4d8b-9148-e3be6c30e623}">
          <xlrd:rvb i="213"/>
        </ext>
      </extLst>
    </bk>
    <bk>
      <extLst>
        <ext uri="{3e2802c4-a4d2-4d8b-9148-e3be6c30e623}">
          <xlrd:rvb i="208"/>
        </ext>
      </extLst>
    </bk>
    <bk>
      <extLst>
        <ext uri="{3e2802c4-a4d2-4d8b-9148-e3be6c30e623}">
          <xlrd:rvb i="212"/>
        </ext>
      </extLst>
    </bk>
    <bk>
      <extLst>
        <ext uri="{3e2802c4-a4d2-4d8b-9148-e3be6c30e623}">
          <xlrd:rvb i="215"/>
        </ext>
      </extLst>
    </bk>
    <bk>
      <extLst>
        <ext uri="{3e2802c4-a4d2-4d8b-9148-e3be6c30e623}">
          <xlrd:rvb i="222"/>
        </ext>
      </extLst>
    </bk>
    <bk>
      <extLst>
        <ext uri="{3e2802c4-a4d2-4d8b-9148-e3be6c30e623}">
          <xlrd:rvb i="218"/>
        </ext>
      </extLst>
    </bk>
    <bk>
      <extLst>
        <ext uri="{3e2802c4-a4d2-4d8b-9148-e3be6c30e623}">
          <xlrd:rvb i="221"/>
        </ext>
      </extLst>
    </bk>
    <bk>
      <extLst>
        <ext uri="{3e2802c4-a4d2-4d8b-9148-e3be6c30e623}">
          <xlrd:rvb i="224"/>
        </ext>
      </extLst>
    </bk>
    <bk>
      <extLst>
        <ext uri="{3e2802c4-a4d2-4d8b-9148-e3be6c30e623}">
          <xlrd:rvb i="231"/>
        </ext>
      </extLst>
    </bk>
    <bk>
      <extLst>
        <ext uri="{3e2802c4-a4d2-4d8b-9148-e3be6c30e623}">
          <xlrd:rvb i="228"/>
        </ext>
      </extLst>
    </bk>
    <bk>
      <extLst>
        <ext uri="{3e2802c4-a4d2-4d8b-9148-e3be6c30e623}">
          <xlrd:rvb i="230"/>
        </ext>
      </extLst>
    </bk>
    <bk>
      <extLst>
        <ext uri="{3e2802c4-a4d2-4d8b-9148-e3be6c30e623}">
          <xlrd:rvb i="233"/>
        </ext>
      </extLst>
    </bk>
    <bk>
      <extLst>
        <ext uri="{3e2802c4-a4d2-4d8b-9148-e3be6c30e623}">
          <xlrd:rvb i="241"/>
        </ext>
      </extLst>
    </bk>
    <bk>
      <extLst>
        <ext uri="{3e2802c4-a4d2-4d8b-9148-e3be6c30e623}">
          <xlrd:rvb i="236"/>
        </ext>
      </extLst>
    </bk>
    <bk>
      <extLst>
        <ext uri="{3e2802c4-a4d2-4d8b-9148-e3be6c30e623}">
          <xlrd:rvb i="240"/>
        </ext>
      </extLst>
    </bk>
    <bk>
      <extLst>
        <ext uri="{3e2802c4-a4d2-4d8b-9148-e3be6c30e623}">
          <xlrd:rvb i="243"/>
        </ext>
      </extLst>
    </bk>
    <bk>
      <extLst>
        <ext uri="{3e2802c4-a4d2-4d8b-9148-e3be6c30e623}">
          <xlrd:rvb i="250"/>
        </ext>
      </extLst>
    </bk>
    <bk>
      <extLst>
        <ext uri="{3e2802c4-a4d2-4d8b-9148-e3be6c30e623}">
          <xlrd:rvb i="247"/>
        </ext>
      </extLst>
    </bk>
    <bk>
      <extLst>
        <ext uri="{3e2802c4-a4d2-4d8b-9148-e3be6c30e623}">
          <xlrd:rvb i="249"/>
        </ext>
      </extLst>
    </bk>
    <bk>
      <extLst>
        <ext uri="{3e2802c4-a4d2-4d8b-9148-e3be6c30e623}">
          <xlrd:rvb i="252"/>
        </ext>
      </extLst>
    </bk>
    <bk>
      <extLst>
        <ext uri="{3e2802c4-a4d2-4d8b-9148-e3be6c30e623}">
          <xlrd:rvb i="262"/>
        </ext>
      </extLst>
    </bk>
    <bk>
      <extLst>
        <ext uri="{3e2802c4-a4d2-4d8b-9148-e3be6c30e623}">
          <xlrd:rvb i="256"/>
        </ext>
      </extLst>
    </bk>
    <bk>
      <extLst>
        <ext uri="{3e2802c4-a4d2-4d8b-9148-e3be6c30e623}">
          <xlrd:rvb i="261"/>
        </ext>
      </extLst>
    </bk>
    <bk>
      <extLst>
        <ext uri="{3e2802c4-a4d2-4d8b-9148-e3be6c30e623}">
          <xlrd:rvb i="264"/>
        </ext>
      </extLst>
    </bk>
    <bk>
      <extLst>
        <ext uri="{3e2802c4-a4d2-4d8b-9148-e3be6c30e623}">
          <xlrd:rvb i="272"/>
        </ext>
      </extLst>
    </bk>
    <bk>
      <extLst>
        <ext uri="{3e2802c4-a4d2-4d8b-9148-e3be6c30e623}">
          <xlrd:rvb i="267"/>
        </ext>
      </extLst>
    </bk>
    <bk>
      <extLst>
        <ext uri="{3e2802c4-a4d2-4d8b-9148-e3be6c30e623}">
          <xlrd:rvb i="271"/>
        </ext>
      </extLst>
    </bk>
    <bk>
      <extLst>
        <ext uri="{3e2802c4-a4d2-4d8b-9148-e3be6c30e623}">
          <xlrd:rvb i="274"/>
        </ext>
      </extLst>
    </bk>
    <bk>
      <extLst>
        <ext uri="{3e2802c4-a4d2-4d8b-9148-e3be6c30e623}">
          <xlrd:rvb i="282"/>
        </ext>
      </extLst>
    </bk>
    <bk>
      <extLst>
        <ext uri="{3e2802c4-a4d2-4d8b-9148-e3be6c30e623}">
          <xlrd:rvb i="277"/>
        </ext>
      </extLst>
    </bk>
    <bk>
      <extLst>
        <ext uri="{3e2802c4-a4d2-4d8b-9148-e3be6c30e623}">
          <xlrd:rvb i="281"/>
        </ext>
      </extLst>
    </bk>
    <bk>
      <extLst>
        <ext uri="{3e2802c4-a4d2-4d8b-9148-e3be6c30e623}">
          <xlrd:rvb i="284"/>
        </ext>
      </extLst>
    </bk>
    <bk>
      <extLst>
        <ext uri="{3e2802c4-a4d2-4d8b-9148-e3be6c30e623}">
          <xlrd:rvb i="291"/>
        </ext>
      </extLst>
    </bk>
    <bk>
      <extLst>
        <ext uri="{3e2802c4-a4d2-4d8b-9148-e3be6c30e623}">
          <xlrd:rvb i="288"/>
        </ext>
      </extLst>
    </bk>
    <bk>
      <extLst>
        <ext uri="{3e2802c4-a4d2-4d8b-9148-e3be6c30e623}">
          <xlrd:rvb i="290"/>
        </ext>
      </extLst>
    </bk>
    <bk>
      <extLst>
        <ext uri="{3e2802c4-a4d2-4d8b-9148-e3be6c30e623}">
          <xlrd:rvb i="308"/>
        </ext>
      </extLst>
    </bk>
    <bk>
      <extLst>
        <ext uri="{3e2802c4-a4d2-4d8b-9148-e3be6c30e623}">
          <xlrd:rvb i="317"/>
        </ext>
      </extLst>
    </bk>
    <bk>
      <extLst>
        <ext uri="{3e2802c4-a4d2-4d8b-9148-e3be6c30e623}">
          <xlrd:rvb i="312"/>
        </ext>
      </extLst>
    </bk>
    <bk>
      <extLst>
        <ext uri="{3e2802c4-a4d2-4d8b-9148-e3be6c30e623}">
          <xlrd:rvb i="316"/>
        </ext>
      </extLst>
    </bk>
    <bk>
      <extLst>
        <ext uri="{3e2802c4-a4d2-4d8b-9148-e3be6c30e623}">
          <xlrd:rvb i="319"/>
        </ext>
      </extLst>
    </bk>
    <bk>
      <extLst>
        <ext uri="{3e2802c4-a4d2-4d8b-9148-e3be6c30e623}">
          <xlrd:rvb i="325"/>
        </ext>
      </extLst>
    </bk>
    <bk>
      <extLst>
        <ext uri="{3e2802c4-a4d2-4d8b-9148-e3be6c30e623}">
          <xlrd:rvb i="322"/>
        </ext>
      </extLst>
    </bk>
    <bk>
      <extLst>
        <ext uri="{3e2802c4-a4d2-4d8b-9148-e3be6c30e623}">
          <xlrd:rvb i="324"/>
        </ext>
      </extLst>
    </bk>
    <bk>
      <extLst>
        <ext uri="{3e2802c4-a4d2-4d8b-9148-e3be6c30e623}">
          <xlrd:rvb i="327"/>
        </ext>
      </extLst>
    </bk>
    <bk>
      <extLst>
        <ext uri="{3e2802c4-a4d2-4d8b-9148-e3be6c30e623}">
          <xlrd:rvb i="336"/>
        </ext>
      </extLst>
    </bk>
    <bk>
      <extLst>
        <ext uri="{3e2802c4-a4d2-4d8b-9148-e3be6c30e623}">
          <xlrd:rvb i="331"/>
        </ext>
      </extLst>
    </bk>
    <bk>
      <extLst>
        <ext uri="{3e2802c4-a4d2-4d8b-9148-e3be6c30e623}">
          <xlrd:rvb i="335"/>
        </ext>
      </extLst>
    </bk>
    <bk>
      <extLst>
        <ext uri="{3e2802c4-a4d2-4d8b-9148-e3be6c30e623}">
          <xlrd:rvb i="338"/>
        </ext>
      </extLst>
    </bk>
    <bk>
      <extLst>
        <ext uri="{3e2802c4-a4d2-4d8b-9148-e3be6c30e623}">
          <xlrd:rvb i="346"/>
        </ext>
      </extLst>
    </bk>
    <bk>
      <extLst>
        <ext uri="{3e2802c4-a4d2-4d8b-9148-e3be6c30e623}">
          <xlrd:rvb i="341"/>
        </ext>
      </extLst>
    </bk>
    <bk>
      <extLst>
        <ext uri="{3e2802c4-a4d2-4d8b-9148-e3be6c30e623}">
          <xlrd:rvb i="345"/>
        </ext>
      </extLst>
    </bk>
    <bk>
      <extLst>
        <ext uri="{3e2802c4-a4d2-4d8b-9148-e3be6c30e623}">
          <xlrd:rvb i="348"/>
        </ext>
      </extLst>
    </bk>
    <bk>
      <extLst>
        <ext uri="{3e2802c4-a4d2-4d8b-9148-e3be6c30e623}">
          <xlrd:rvb i="356"/>
        </ext>
      </extLst>
    </bk>
    <bk>
      <extLst>
        <ext uri="{3e2802c4-a4d2-4d8b-9148-e3be6c30e623}">
          <xlrd:rvb i="351"/>
        </ext>
      </extLst>
    </bk>
    <bk>
      <extLst>
        <ext uri="{3e2802c4-a4d2-4d8b-9148-e3be6c30e623}">
          <xlrd:rvb i="355"/>
        </ext>
      </extLst>
    </bk>
    <bk>
      <extLst>
        <ext uri="{3e2802c4-a4d2-4d8b-9148-e3be6c30e623}">
          <xlrd:rvb i="358"/>
        </ext>
      </extLst>
    </bk>
    <bk>
      <extLst>
        <ext uri="{3e2802c4-a4d2-4d8b-9148-e3be6c30e623}">
          <xlrd:rvb i="366"/>
        </ext>
      </extLst>
    </bk>
    <bk>
      <extLst>
        <ext uri="{3e2802c4-a4d2-4d8b-9148-e3be6c30e623}">
          <xlrd:rvb i="361"/>
        </ext>
      </extLst>
    </bk>
    <bk>
      <extLst>
        <ext uri="{3e2802c4-a4d2-4d8b-9148-e3be6c30e623}">
          <xlrd:rvb i="365"/>
        </ext>
      </extLst>
    </bk>
    <bk>
      <extLst>
        <ext uri="{3e2802c4-a4d2-4d8b-9148-e3be6c30e623}">
          <xlrd:rvb i="368"/>
        </ext>
      </extLst>
    </bk>
    <bk>
      <extLst>
        <ext uri="{3e2802c4-a4d2-4d8b-9148-e3be6c30e623}">
          <xlrd:rvb i="377"/>
        </ext>
      </extLst>
    </bk>
    <bk>
      <extLst>
        <ext uri="{3e2802c4-a4d2-4d8b-9148-e3be6c30e623}">
          <xlrd:rvb i="372"/>
        </ext>
      </extLst>
    </bk>
    <bk>
      <extLst>
        <ext uri="{3e2802c4-a4d2-4d8b-9148-e3be6c30e623}">
          <xlrd:rvb i="376"/>
        </ext>
      </extLst>
    </bk>
    <bk>
      <extLst>
        <ext uri="{3e2802c4-a4d2-4d8b-9148-e3be6c30e623}">
          <xlrd:rvb i="379"/>
        </ext>
      </extLst>
    </bk>
    <bk>
      <extLst>
        <ext uri="{3e2802c4-a4d2-4d8b-9148-e3be6c30e623}">
          <xlrd:rvb i="387"/>
        </ext>
      </extLst>
    </bk>
    <bk>
      <extLst>
        <ext uri="{3e2802c4-a4d2-4d8b-9148-e3be6c30e623}">
          <xlrd:rvb i="382"/>
        </ext>
      </extLst>
    </bk>
    <bk>
      <extLst>
        <ext uri="{3e2802c4-a4d2-4d8b-9148-e3be6c30e623}">
          <xlrd:rvb i="386"/>
        </ext>
      </extLst>
    </bk>
    <bk>
      <extLst>
        <ext uri="{3e2802c4-a4d2-4d8b-9148-e3be6c30e623}">
          <xlrd:rvb i="389"/>
        </ext>
      </extLst>
    </bk>
    <bk>
      <extLst>
        <ext uri="{3e2802c4-a4d2-4d8b-9148-e3be6c30e623}">
          <xlrd:rvb i="398"/>
        </ext>
      </extLst>
    </bk>
    <bk>
      <extLst>
        <ext uri="{3e2802c4-a4d2-4d8b-9148-e3be6c30e623}">
          <xlrd:rvb i="393"/>
        </ext>
      </extLst>
    </bk>
    <bk>
      <extLst>
        <ext uri="{3e2802c4-a4d2-4d8b-9148-e3be6c30e623}">
          <xlrd:rvb i="397"/>
        </ext>
      </extLst>
    </bk>
    <bk>
      <extLst>
        <ext uri="{3e2802c4-a4d2-4d8b-9148-e3be6c30e623}">
          <xlrd:rvb i="400"/>
        </ext>
      </extLst>
    </bk>
    <bk>
      <extLst>
        <ext uri="{3e2802c4-a4d2-4d8b-9148-e3be6c30e623}">
          <xlrd:rvb i="408"/>
        </ext>
      </extLst>
    </bk>
    <bk>
      <extLst>
        <ext uri="{3e2802c4-a4d2-4d8b-9148-e3be6c30e623}">
          <xlrd:rvb i="404"/>
        </ext>
      </extLst>
    </bk>
    <bk>
      <extLst>
        <ext uri="{3e2802c4-a4d2-4d8b-9148-e3be6c30e623}">
          <xlrd:rvb i="407"/>
        </ext>
      </extLst>
    </bk>
    <bk>
      <extLst>
        <ext uri="{3e2802c4-a4d2-4d8b-9148-e3be6c30e623}">
          <xlrd:rvb i="410"/>
        </ext>
      </extLst>
    </bk>
    <bk>
      <extLst>
        <ext uri="{3e2802c4-a4d2-4d8b-9148-e3be6c30e623}">
          <xlrd:rvb i="418"/>
        </ext>
      </extLst>
    </bk>
    <bk>
      <extLst>
        <ext uri="{3e2802c4-a4d2-4d8b-9148-e3be6c30e623}">
          <xlrd:rvb i="413"/>
        </ext>
      </extLst>
    </bk>
    <bk>
      <extLst>
        <ext uri="{3e2802c4-a4d2-4d8b-9148-e3be6c30e623}">
          <xlrd:rvb i="417"/>
        </ext>
      </extLst>
    </bk>
    <bk>
      <extLst>
        <ext uri="{3e2802c4-a4d2-4d8b-9148-e3be6c30e623}">
          <xlrd:rvb i="420"/>
        </ext>
      </extLst>
    </bk>
    <bk>
      <extLst>
        <ext uri="{3e2802c4-a4d2-4d8b-9148-e3be6c30e623}">
          <xlrd:rvb i="428"/>
        </ext>
      </extLst>
    </bk>
    <bk>
      <extLst>
        <ext uri="{3e2802c4-a4d2-4d8b-9148-e3be6c30e623}">
          <xlrd:rvb i="423"/>
        </ext>
      </extLst>
    </bk>
    <bk>
      <extLst>
        <ext uri="{3e2802c4-a4d2-4d8b-9148-e3be6c30e623}">
          <xlrd:rvb i="427"/>
        </ext>
      </extLst>
    </bk>
    <bk>
      <extLst>
        <ext uri="{3e2802c4-a4d2-4d8b-9148-e3be6c30e623}">
          <xlrd:rvb i="430"/>
        </ext>
      </extLst>
    </bk>
    <bk>
      <extLst>
        <ext uri="{3e2802c4-a4d2-4d8b-9148-e3be6c30e623}">
          <xlrd:rvb i="437"/>
        </ext>
      </extLst>
    </bk>
    <bk>
      <extLst>
        <ext uri="{3e2802c4-a4d2-4d8b-9148-e3be6c30e623}">
          <xlrd:rvb i="433"/>
        </ext>
      </extLst>
    </bk>
    <bk>
      <extLst>
        <ext uri="{3e2802c4-a4d2-4d8b-9148-e3be6c30e623}">
          <xlrd:rvb i="436"/>
        </ext>
      </extLst>
    </bk>
    <bk>
      <extLst>
        <ext uri="{3e2802c4-a4d2-4d8b-9148-e3be6c30e623}">
          <xlrd:rvb i="439"/>
        </ext>
      </extLst>
    </bk>
    <bk>
      <extLst>
        <ext uri="{3e2802c4-a4d2-4d8b-9148-e3be6c30e623}">
          <xlrd:rvb i="447"/>
        </ext>
      </extLst>
    </bk>
    <bk>
      <extLst>
        <ext uri="{3e2802c4-a4d2-4d8b-9148-e3be6c30e623}">
          <xlrd:rvb i="442"/>
        </ext>
      </extLst>
    </bk>
    <bk>
      <extLst>
        <ext uri="{3e2802c4-a4d2-4d8b-9148-e3be6c30e623}">
          <xlrd:rvb i="446"/>
        </ext>
      </extLst>
    </bk>
    <bk>
      <extLst>
        <ext uri="{3e2802c4-a4d2-4d8b-9148-e3be6c30e623}">
          <xlrd:rvb i="449"/>
        </ext>
      </extLst>
    </bk>
    <bk>
      <extLst>
        <ext uri="{3e2802c4-a4d2-4d8b-9148-e3be6c30e623}">
          <xlrd:rvb i="455"/>
        </ext>
      </extLst>
    </bk>
    <bk>
      <extLst>
        <ext uri="{3e2802c4-a4d2-4d8b-9148-e3be6c30e623}">
          <xlrd:rvb i="452"/>
        </ext>
      </extLst>
    </bk>
    <bk>
      <extLst>
        <ext uri="{3e2802c4-a4d2-4d8b-9148-e3be6c30e623}">
          <xlrd:rvb i="454"/>
        </ext>
      </extLst>
    </bk>
    <bk>
      <extLst>
        <ext uri="{3e2802c4-a4d2-4d8b-9148-e3be6c30e623}">
          <xlrd:rvb i="457"/>
        </ext>
      </extLst>
    </bk>
    <bk>
      <extLst>
        <ext uri="{3e2802c4-a4d2-4d8b-9148-e3be6c30e623}">
          <xlrd:rvb i="466"/>
        </ext>
      </extLst>
    </bk>
    <bk>
      <extLst>
        <ext uri="{3e2802c4-a4d2-4d8b-9148-e3be6c30e623}">
          <xlrd:rvb i="461"/>
        </ext>
      </extLst>
    </bk>
    <bk>
      <extLst>
        <ext uri="{3e2802c4-a4d2-4d8b-9148-e3be6c30e623}">
          <xlrd:rvb i="465"/>
        </ext>
      </extLst>
    </bk>
    <bk>
      <extLst>
        <ext uri="{3e2802c4-a4d2-4d8b-9148-e3be6c30e623}">
          <xlrd:rvb i="468"/>
        </ext>
      </extLst>
    </bk>
    <bk>
      <extLst>
        <ext uri="{3e2802c4-a4d2-4d8b-9148-e3be6c30e623}">
          <xlrd:rvb i="476"/>
        </ext>
      </extLst>
    </bk>
    <bk>
      <extLst>
        <ext uri="{3e2802c4-a4d2-4d8b-9148-e3be6c30e623}">
          <xlrd:rvb i="471"/>
        </ext>
      </extLst>
    </bk>
    <bk>
      <extLst>
        <ext uri="{3e2802c4-a4d2-4d8b-9148-e3be6c30e623}">
          <xlrd:rvb i="475"/>
        </ext>
      </extLst>
    </bk>
    <bk>
      <extLst>
        <ext uri="{3e2802c4-a4d2-4d8b-9148-e3be6c30e623}">
          <xlrd:rvb i="478"/>
        </ext>
      </extLst>
    </bk>
    <bk>
      <extLst>
        <ext uri="{3e2802c4-a4d2-4d8b-9148-e3be6c30e623}">
          <xlrd:rvb i="487"/>
        </ext>
      </extLst>
    </bk>
    <bk>
      <extLst>
        <ext uri="{3e2802c4-a4d2-4d8b-9148-e3be6c30e623}">
          <xlrd:rvb i="482"/>
        </ext>
      </extLst>
    </bk>
    <bk>
      <extLst>
        <ext uri="{3e2802c4-a4d2-4d8b-9148-e3be6c30e623}">
          <xlrd:rvb i="486"/>
        </ext>
      </extLst>
    </bk>
    <bk>
      <extLst>
        <ext uri="{3e2802c4-a4d2-4d8b-9148-e3be6c30e623}">
          <xlrd:rvb i="495"/>
        </ext>
      </extLst>
    </bk>
    <bk>
      <extLst>
        <ext uri="{3e2802c4-a4d2-4d8b-9148-e3be6c30e623}">
          <xlrd:rvb i="504"/>
        </ext>
      </extLst>
    </bk>
    <bk>
      <extLst>
        <ext uri="{3e2802c4-a4d2-4d8b-9148-e3be6c30e623}">
          <xlrd:rvb i="499"/>
        </ext>
      </extLst>
    </bk>
    <bk>
      <extLst>
        <ext uri="{3e2802c4-a4d2-4d8b-9148-e3be6c30e623}">
          <xlrd:rvb i="503"/>
        </ext>
      </extLst>
    </bk>
    <bk>
      <extLst>
        <ext uri="{3e2802c4-a4d2-4d8b-9148-e3be6c30e623}">
          <xlrd:rvb i="506"/>
        </ext>
      </extLst>
    </bk>
    <bk>
      <extLst>
        <ext uri="{3e2802c4-a4d2-4d8b-9148-e3be6c30e623}">
          <xlrd:rvb i="514"/>
        </ext>
      </extLst>
    </bk>
    <bk>
      <extLst>
        <ext uri="{3e2802c4-a4d2-4d8b-9148-e3be6c30e623}">
          <xlrd:rvb i="509"/>
        </ext>
      </extLst>
    </bk>
    <bk>
      <extLst>
        <ext uri="{3e2802c4-a4d2-4d8b-9148-e3be6c30e623}">
          <xlrd:rvb i="513"/>
        </ext>
      </extLst>
    </bk>
    <bk>
      <extLst>
        <ext uri="{3e2802c4-a4d2-4d8b-9148-e3be6c30e623}">
          <xlrd:rvb i="516"/>
        </ext>
      </extLst>
    </bk>
    <bk>
      <extLst>
        <ext uri="{3e2802c4-a4d2-4d8b-9148-e3be6c30e623}">
          <xlrd:rvb i="525"/>
        </ext>
      </extLst>
    </bk>
    <bk>
      <extLst>
        <ext uri="{3e2802c4-a4d2-4d8b-9148-e3be6c30e623}">
          <xlrd:rvb i="520"/>
        </ext>
      </extLst>
    </bk>
    <bk>
      <extLst>
        <ext uri="{3e2802c4-a4d2-4d8b-9148-e3be6c30e623}">
          <xlrd:rvb i="524"/>
        </ext>
      </extLst>
    </bk>
    <bk>
      <extLst>
        <ext uri="{3e2802c4-a4d2-4d8b-9148-e3be6c30e623}">
          <xlrd:rvb i="527"/>
        </ext>
      </extLst>
    </bk>
    <bk>
      <extLst>
        <ext uri="{3e2802c4-a4d2-4d8b-9148-e3be6c30e623}">
          <xlrd:rvb i="535"/>
        </ext>
      </extLst>
    </bk>
    <bk>
      <extLst>
        <ext uri="{3e2802c4-a4d2-4d8b-9148-e3be6c30e623}">
          <xlrd:rvb i="530"/>
        </ext>
      </extLst>
    </bk>
    <bk>
      <extLst>
        <ext uri="{3e2802c4-a4d2-4d8b-9148-e3be6c30e623}">
          <xlrd:rvb i="534"/>
        </ext>
      </extLst>
    </bk>
    <bk>
      <extLst>
        <ext uri="{3e2802c4-a4d2-4d8b-9148-e3be6c30e623}">
          <xlrd:rvb i="537"/>
        </ext>
      </extLst>
    </bk>
    <bk>
      <extLst>
        <ext uri="{3e2802c4-a4d2-4d8b-9148-e3be6c30e623}">
          <xlrd:rvb i="543"/>
        </ext>
      </extLst>
    </bk>
    <bk>
      <extLst>
        <ext uri="{3e2802c4-a4d2-4d8b-9148-e3be6c30e623}">
          <xlrd:rvb i="540"/>
        </ext>
      </extLst>
    </bk>
    <bk>
      <extLst>
        <ext uri="{3e2802c4-a4d2-4d8b-9148-e3be6c30e623}">
          <xlrd:rvb i="542"/>
        </ext>
      </extLst>
    </bk>
    <bk>
      <extLst>
        <ext uri="{3e2802c4-a4d2-4d8b-9148-e3be6c30e623}">
          <xlrd:rvb i="545"/>
        </ext>
      </extLst>
    </bk>
    <bk>
      <extLst>
        <ext uri="{3e2802c4-a4d2-4d8b-9148-e3be6c30e623}">
          <xlrd:rvb i="553"/>
        </ext>
      </extLst>
    </bk>
    <bk>
      <extLst>
        <ext uri="{3e2802c4-a4d2-4d8b-9148-e3be6c30e623}">
          <xlrd:rvb i="548"/>
        </ext>
      </extLst>
    </bk>
    <bk>
      <extLst>
        <ext uri="{3e2802c4-a4d2-4d8b-9148-e3be6c30e623}">
          <xlrd:rvb i="552"/>
        </ext>
      </extLst>
    </bk>
    <bk>
      <extLst>
        <ext uri="{3e2802c4-a4d2-4d8b-9148-e3be6c30e623}">
          <xlrd:rvb i="555"/>
        </ext>
      </extLst>
    </bk>
    <bk>
      <extLst>
        <ext uri="{3e2802c4-a4d2-4d8b-9148-e3be6c30e623}">
          <xlrd:rvb i="563"/>
        </ext>
      </extLst>
    </bk>
    <bk>
      <extLst>
        <ext uri="{3e2802c4-a4d2-4d8b-9148-e3be6c30e623}">
          <xlrd:rvb i="558"/>
        </ext>
      </extLst>
    </bk>
    <bk>
      <extLst>
        <ext uri="{3e2802c4-a4d2-4d8b-9148-e3be6c30e623}">
          <xlrd:rvb i="562"/>
        </ext>
      </extLst>
    </bk>
    <bk>
      <extLst>
        <ext uri="{3e2802c4-a4d2-4d8b-9148-e3be6c30e623}">
          <xlrd:rvb i="565"/>
        </ext>
      </extLst>
    </bk>
    <bk>
      <extLst>
        <ext uri="{3e2802c4-a4d2-4d8b-9148-e3be6c30e623}">
          <xlrd:rvb i="573"/>
        </ext>
      </extLst>
    </bk>
    <bk>
      <extLst>
        <ext uri="{3e2802c4-a4d2-4d8b-9148-e3be6c30e623}">
          <xlrd:rvb i="568"/>
        </ext>
      </extLst>
    </bk>
    <bk>
      <extLst>
        <ext uri="{3e2802c4-a4d2-4d8b-9148-e3be6c30e623}">
          <xlrd:rvb i="572"/>
        </ext>
      </extLst>
    </bk>
    <bk>
      <extLst>
        <ext uri="{3e2802c4-a4d2-4d8b-9148-e3be6c30e623}">
          <xlrd:rvb i="575"/>
        </ext>
      </extLst>
    </bk>
    <bk>
      <extLst>
        <ext uri="{3e2802c4-a4d2-4d8b-9148-e3be6c30e623}">
          <xlrd:rvb i="581"/>
        </ext>
      </extLst>
    </bk>
    <bk>
      <extLst>
        <ext uri="{3e2802c4-a4d2-4d8b-9148-e3be6c30e623}">
          <xlrd:rvb i="578"/>
        </ext>
      </extLst>
    </bk>
    <bk>
      <extLst>
        <ext uri="{3e2802c4-a4d2-4d8b-9148-e3be6c30e623}">
          <xlrd:rvb i="580"/>
        </ext>
      </extLst>
    </bk>
    <bk>
      <extLst>
        <ext uri="{3e2802c4-a4d2-4d8b-9148-e3be6c30e623}">
          <xlrd:rvb i="583"/>
        </ext>
      </extLst>
    </bk>
    <bk>
      <extLst>
        <ext uri="{3e2802c4-a4d2-4d8b-9148-e3be6c30e623}">
          <xlrd:rvb i="592"/>
        </ext>
      </extLst>
    </bk>
    <bk>
      <extLst>
        <ext uri="{3e2802c4-a4d2-4d8b-9148-e3be6c30e623}">
          <xlrd:rvb i="587"/>
        </ext>
      </extLst>
    </bk>
    <bk>
      <extLst>
        <ext uri="{3e2802c4-a4d2-4d8b-9148-e3be6c30e623}">
          <xlrd:rvb i="591"/>
        </ext>
      </extLst>
    </bk>
    <bk>
      <extLst>
        <ext uri="{3e2802c4-a4d2-4d8b-9148-e3be6c30e623}">
          <xlrd:rvb i="594"/>
        </ext>
      </extLst>
    </bk>
    <bk>
      <extLst>
        <ext uri="{3e2802c4-a4d2-4d8b-9148-e3be6c30e623}">
          <xlrd:rvb i="602"/>
        </ext>
      </extLst>
    </bk>
    <bk>
      <extLst>
        <ext uri="{3e2802c4-a4d2-4d8b-9148-e3be6c30e623}">
          <xlrd:rvb i="597"/>
        </ext>
      </extLst>
    </bk>
    <bk>
      <extLst>
        <ext uri="{3e2802c4-a4d2-4d8b-9148-e3be6c30e623}">
          <xlrd:rvb i="601"/>
        </ext>
      </extLst>
    </bk>
    <bk>
      <extLst>
        <ext uri="{3e2802c4-a4d2-4d8b-9148-e3be6c30e623}">
          <xlrd:rvb i="604"/>
        </ext>
      </extLst>
    </bk>
    <bk>
      <extLst>
        <ext uri="{3e2802c4-a4d2-4d8b-9148-e3be6c30e623}">
          <xlrd:rvb i="612"/>
        </ext>
      </extLst>
    </bk>
    <bk>
      <extLst>
        <ext uri="{3e2802c4-a4d2-4d8b-9148-e3be6c30e623}">
          <xlrd:rvb i="607"/>
        </ext>
      </extLst>
    </bk>
    <bk>
      <extLst>
        <ext uri="{3e2802c4-a4d2-4d8b-9148-e3be6c30e623}">
          <xlrd:rvb i="611"/>
        </ext>
      </extLst>
    </bk>
    <bk>
      <extLst>
        <ext uri="{3e2802c4-a4d2-4d8b-9148-e3be6c30e623}">
          <xlrd:rvb i="614"/>
        </ext>
      </extLst>
    </bk>
    <bk>
      <extLst>
        <ext uri="{3e2802c4-a4d2-4d8b-9148-e3be6c30e623}">
          <xlrd:rvb i="622"/>
        </ext>
      </extLst>
    </bk>
    <bk>
      <extLst>
        <ext uri="{3e2802c4-a4d2-4d8b-9148-e3be6c30e623}">
          <xlrd:rvb i="617"/>
        </ext>
      </extLst>
    </bk>
    <bk>
      <extLst>
        <ext uri="{3e2802c4-a4d2-4d8b-9148-e3be6c30e623}">
          <xlrd:rvb i="621"/>
        </ext>
      </extLst>
    </bk>
    <bk>
      <extLst>
        <ext uri="{3e2802c4-a4d2-4d8b-9148-e3be6c30e623}">
          <xlrd:rvb i="624"/>
        </ext>
      </extLst>
    </bk>
    <bk>
      <extLst>
        <ext uri="{3e2802c4-a4d2-4d8b-9148-e3be6c30e623}">
          <xlrd:rvb i="632"/>
        </ext>
      </extLst>
    </bk>
    <bk>
      <extLst>
        <ext uri="{3e2802c4-a4d2-4d8b-9148-e3be6c30e623}">
          <xlrd:rvb i="627"/>
        </ext>
      </extLst>
    </bk>
    <bk>
      <extLst>
        <ext uri="{3e2802c4-a4d2-4d8b-9148-e3be6c30e623}">
          <xlrd:rvb i="631"/>
        </ext>
      </extLst>
    </bk>
    <bk>
      <extLst>
        <ext uri="{3e2802c4-a4d2-4d8b-9148-e3be6c30e623}">
          <xlrd:rvb i="634"/>
        </ext>
      </extLst>
    </bk>
    <bk>
      <extLst>
        <ext uri="{3e2802c4-a4d2-4d8b-9148-e3be6c30e623}">
          <xlrd:rvb i="643"/>
        </ext>
      </extLst>
    </bk>
    <bk>
      <extLst>
        <ext uri="{3e2802c4-a4d2-4d8b-9148-e3be6c30e623}">
          <xlrd:rvb i="638"/>
        </ext>
      </extLst>
    </bk>
    <bk>
      <extLst>
        <ext uri="{3e2802c4-a4d2-4d8b-9148-e3be6c30e623}">
          <xlrd:rvb i="642"/>
        </ext>
      </extLst>
    </bk>
    <bk>
      <extLst>
        <ext uri="{3e2802c4-a4d2-4d8b-9148-e3be6c30e623}">
          <xlrd:rvb i="645"/>
        </ext>
      </extLst>
    </bk>
    <bk>
      <extLst>
        <ext uri="{3e2802c4-a4d2-4d8b-9148-e3be6c30e623}">
          <xlrd:rvb i="651"/>
        </ext>
      </extLst>
    </bk>
    <bk>
      <extLst>
        <ext uri="{3e2802c4-a4d2-4d8b-9148-e3be6c30e623}">
          <xlrd:rvb i="648"/>
        </ext>
      </extLst>
    </bk>
    <bk>
      <extLst>
        <ext uri="{3e2802c4-a4d2-4d8b-9148-e3be6c30e623}">
          <xlrd:rvb i="650"/>
        </ext>
      </extLst>
    </bk>
    <bk>
      <extLst>
        <ext uri="{3e2802c4-a4d2-4d8b-9148-e3be6c30e623}">
          <xlrd:rvb i="653"/>
        </ext>
      </extLst>
    </bk>
    <bk>
      <extLst>
        <ext uri="{3e2802c4-a4d2-4d8b-9148-e3be6c30e623}">
          <xlrd:rvb i="661"/>
        </ext>
      </extLst>
    </bk>
    <bk>
      <extLst>
        <ext uri="{3e2802c4-a4d2-4d8b-9148-e3be6c30e623}">
          <xlrd:rvb i="656"/>
        </ext>
      </extLst>
    </bk>
    <bk>
      <extLst>
        <ext uri="{3e2802c4-a4d2-4d8b-9148-e3be6c30e623}">
          <xlrd:rvb i="660"/>
        </ext>
      </extLst>
    </bk>
    <bk>
      <extLst>
        <ext uri="{3e2802c4-a4d2-4d8b-9148-e3be6c30e623}">
          <xlrd:rvb i="663"/>
        </ext>
      </extLst>
    </bk>
    <bk>
      <extLst>
        <ext uri="{3e2802c4-a4d2-4d8b-9148-e3be6c30e623}">
          <xlrd:rvb i="671"/>
        </ext>
      </extLst>
    </bk>
    <bk>
      <extLst>
        <ext uri="{3e2802c4-a4d2-4d8b-9148-e3be6c30e623}">
          <xlrd:rvb i="666"/>
        </ext>
      </extLst>
    </bk>
    <bk>
      <extLst>
        <ext uri="{3e2802c4-a4d2-4d8b-9148-e3be6c30e623}">
          <xlrd:rvb i="670"/>
        </ext>
      </extLst>
    </bk>
    <bk>
      <extLst>
        <ext uri="{3e2802c4-a4d2-4d8b-9148-e3be6c30e623}">
          <xlrd:rvb i="673"/>
        </ext>
      </extLst>
    </bk>
    <bk>
      <extLst>
        <ext uri="{3e2802c4-a4d2-4d8b-9148-e3be6c30e623}">
          <xlrd:rvb i="681"/>
        </ext>
      </extLst>
    </bk>
    <bk>
      <extLst>
        <ext uri="{3e2802c4-a4d2-4d8b-9148-e3be6c30e623}">
          <xlrd:rvb i="676"/>
        </ext>
      </extLst>
    </bk>
    <bk>
      <extLst>
        <ext uri="{3e2802c4-a4d2-4d8b-9148-e3be6c30e623}">
          <xlrd:rvb i="680"/>
        </ext>
      </extLst>
    </bk>
    <bk>
      <extLst>
        <ext uri="{3e2802c4-a4d2-4d8b-9148-e3be6c30e623}">
          <xlrd:rvb i="683"/>
        </ext>
      </extLst>
    </bk>
    <bk>
      <extLst>
        <ext uri="{3e2802c4-a4d2-4d8b-9148-e3be6c30e623}">
          <xlrd:rvb i="690"/>
        </ext>
      </extLst>
    </bk>
    <bk>
      <extLst>
        <ext uri="{3e2802c4-a4d2-4d8b-9148-e3be6c30e623}">
          <xlrd:rvb i="686"/>
        </ext>
      </extLst>
    </bk>
    <bk>
      <extLst>
        <ext uri="{3e2802c4-a4d2-4d8b-9148-e3be6c30e623}">
          <xlrd:rvb i="689"/>
        </ext>
      </extLst>
    </bk>
    <bk>
      <extLst>
        <ext uri="{3e2802c4-a4d2-4d8b-9148-e3be6c30e623}">
          <xlrd:rvb i="692"/>
        </ext>
      </extLst>
    </bk>
    <bk>
      <extLst>
        <ext uri="{3e2802c4-a4d2-4d8b-9148-e3be6c30e623}">
          <xlrd:rvb i="699"/>
        </ext>
      </extLst>
    </bk>
    <bk>
      <extLst>
        <ext uri="{3e2802c4-a4d2-4d8b-9148-e3be6c30e623}">
          <xlrd:rvb i="696"/>
        </ext>
      </extLst>
    </bk>
    <bk>
      <extLst>
        <ext uri="{3e2802c4-a4d2-4d8b-9148-e3be6c30e623}">
          <xlrd:rvb i="698"/>
        </ext>
      </extLst>
    </bk>
    <bk>
      <extLst>
        <ext uri="{3e2802c4-a4d2-4d8b-9148-e3be6c30e623}">
          <xlrd:rvb i="707"/>
        </ext>
      </extLst>
    </bk>
    <bk>
      <extLst>
        <ext uri="{3e2802c4-a4d2-4d8b-9148-e3be6c30e623}">
          <xlrd:rvb i="713"/>
        </ext>
      </extLst>
    </bk>
    <bk>
      <extLst>
        <ext uri="{3e2802c4-a4d2-4d8b-9148-e3be6c30e623}">
          <xlrd:rvb i="710"/>
        </ext>
      </extLst>
    </bk>
    <bk>
      <extLst>
        <ext uri="{3e2802c4-a4d2-4d8b-9148-e3be6c30e623}">
          <xlrd:rvb i="712"/>
        </ext>
      </extLst>
    </bk>
    <bk>
      <extLst>
        <ext uri="{3e2802c4-a4d2-4d8b-9148-e3be6c30e623}">
          <xlrd:rvb i="715"/>
        </ext>
      </extLst>
    </bk>
    <bk>
      <extLst>
        <ext uri="{3e2802c4-a4d2-4d8b-9148-e3be6c30e623}">
          <xlrd:rvb i="721"/>
        </ext>
      </extLst>
    </bk>
    <bk>
      <extLst>
        <ext uri="{3e2802c4-a4d2-4d8b-9148-e3be6c30e623}">
          <xlrd:rvb i="718"/>
        </ext>
      </extLst>
    </bk>
    <bk>
      <extLst>
        <ext uri="{3e2802c4-a4d2-4d8b-9148-e3be6c30e623}">
          <xlrd:rvb i="720"/>
        </ext>
      </extLst>
    </bk>
    <bk>
      <extLst>
        <ext uri="{3e2802c4-a4d2-4d8b-9148-e3be6c30e623}">
          <xlrd:rvb i="723"/>
        </ext>
      </extLst>
    </bk>
    <bk>
      <extLst>
        <ext uri="{3e2802c4-a4d2-4d8b-9148-e3be6c30e623}">
          <xlrd:rvb i="70"/>
        </ext>
      </extLst>
    </bk>
    <bk>
      <extLst>
        <ext uri="{3e2802c4-a4d2-4d8b-9148-e3be6c30e623}">
          <xlrd:rvb i="65"/>
        </ext>
      </extLst>
    </bk>
    <bk>
      <extLst>
        <ext uri="{3e2802c4-a4d2-4d8b-9148-e3be6c30e623}">
          <xlrd:rvb i="69"/>
        </ext>
      </extLst>
    </bk>
    <bk>
      <extLst>
        <ext uri="{3e2802c4-a4d2-4d8b-9148-e3be6c30e623}">
          <xlrd:rvb i="724"/>
        </ext>
      </extLst>
    </bk>
    <bk>
      <extLst>
        <ext uri="{3e2802c4-a4d2-4d8b-9148-e3be6c30e623}">
          <xlrd:rvb i="733"/>
        </ext>
      </extLst>
    </bk>
    <bk>
      <extLst>
        <ext uri="{3e2802c4-a4d2-4d8b-9148-e3be6c30e623}">
          <xlrd:rvb i="728"/>
        </ext>
      </extLst>
    </bk>
    <bk>
      <extLst>
        <ext uri="{3e2802c4-a4d2-4d8b-9148-e3be6c30e623}">
          <xlrd:rvb i="732"/>
        </ext>
      </extLst>
    </bk>
    <bk>
      <extLst>
        <ext uri="{3e2802c4-a4d2-4d8b-9148-e3be6c30e623}">
          <xlrd:rvb i="735"/>
        </ext>
      </extLst>
    </bk>
    <bk>
      <extLst>
        <ext uri="{3e2802c4-a4d2-4d8b-9148-e3be6c30e623}">
          <xlrd:rvb i="741"/>
        </ext>
      </extLst>
    </bk>
    <bk>
      <extLst>
        <ext uri="{3e2802c4-a4d2-4d8b-9148-e3be6c30e623}">
          <xlrd:rvb i="738"/>
        </ext>
      </extLst>
    </bk>
    <bk>
      <extLst>
        <ext uri="{3e2802c4-a4d2-4d8b-9148-e3be6c30e623}">
          <xlrd:rvb i="740"/>
        </ext>
      </extLst>
    </bk>
    <bk>
      <extLst>
        <ext uri="{3e2802c4-a4d2-4d8b-9148-e3be6c30e623}">
          <xlrd:rvb i="743"/>
        </ext>
      </extLst>
    </bk>
    <bk>
      <extLst>
        <ext uri="{3e2802c4-a4d2-4d8b-9148-e3be6c30e623}">
          <xlrd:rvb i="751"/>
        </ext>
      </extLst>
    </bk>
    <bk>
      <extLst>
        <ext uri="{3e2802c4-a4d2-4d8b-9148-e3be6c30e623}">
          <xlrd:rvb i="746"/>
        </ext>
      </extLst>
    </bk>
    <bk>
      <extLst>
        <ext uri="{3e2802c4-a4d2-4d8b-9148-e3be6c30e623}">
          <xlrd:rvb i="750"/>
        </ext>
      </extLst>
    </bk>
    <bk>
      <extLst>
        <ext uri="{3e2802c4-a4d2-4d8b-9148-e3be6c30e623}">
          <xlrd:rvb i="753"/>
        </ext>
      </extLst>
    </bk>
    <bk>
      <extLst>
        <ext uri="{3e2802c4-a4d2-4d8b-9148-e3be6c30e623}">
          <xlrd:rvb i="760"/>
        </ext>
      </extLst>
    </bk>
    <bk>
      <extLst>
        <ext uri="{3e2802c4-a4d2-4d8b-9148-e3be6c30e623}">
          <xlrd:rvb i="756"/>
        </ext>
      </extLst>
    </bk>
    <bk>
      <extLst>
        <ext uri="{3e2802c4-a4d2-4d8b-9148-e3be6c30e623}">
          <xlrd:rvb i="759"/>
        </ext>
      </extLst>
    </bk>
    <bk>
      <extLst>
        <ext uri="{3e2802c4-a4d2-4d8b-9148-e3be6c30e623}">
          <xlrd:rvb i="762"/>
        </ext>
      </extLst>
    </bk>
    <bk>
      <extLst>
        <ext uri="{3e2802c4-a4d2-4d8b-9148-e3be6c30e623}">
          <xlrd:rvb i="771"/>
        </ext>
      </extLst>
    </bk>
    <bk>
      <extLst>
        <ext uri="{3e2802c4-a4d2-4d8b-9148-e3be6c30e623}">
          <xlrd:rvb i="766"/>
        </ext>
      </extLst>
    </bk>
    <bk>
      <extLst>
        <ext uri="{3e2802c4-a4d2-4d8b-9148-e3be6c30e623}">
          <xlrd:rvb i="770"/>
        </ext>
      </extLst>
    </bk>
    <bk>
      <extLst>
        <ext uri="{3e2802c4-a4d2-4d8b-9148-e3be6c30e623}">
          <xlrd:rvb i="773"/>
        </ext>
      </extLst>
    </bk>
    <bk>
      <extLst>
        <ext uri="{3e2802c4-a4d2-4d8b-9148-e3be6c30e623}">
          <xlrd:rvb i="782"/>
        </ext>
      </extLst>
    </bk>
    <bk>
      <extLst>
        <ext uri="{3e2802c4-a4d2-4d8b-9148-e3be6c30e623}">
          <xlrd:rvb i="777"/>
        </ext>
      </extLst>
    </bk>
    <bk>
      <extLst>
        <ext uri="{3e2802c4-a4d2-4d8b-9148-e3be6c30e623}">
          <xlrd:rvb i="781"/>
        </ext>
      </extLst>
    </bk>
    <bk>
      <extLst>
        <ext uri="{3e2802c4-a4d2-4d8b-9148-e3be6c30e623}">
          <xlrd:rvb i="784"/>
        </ext>
      </extLst>
    </bk>
    <bk>
      <extLst>
        <ext uri="{3e2802c4-a4d2-4d8b-9148-e3be6c30e623}">
          <xlrd:rvb i="793"/>
        </ext>
      </extLst>
    </bk>
    <bk>
      <extLst>
        <ext uri="{3e2802c4-a4d2-4d8b-9148-e3be6c30e623}">
          <xlrd:rvb i="788"/>
        </ext>
      </extLst>
    </bk>
    <bk>
      <extLst>
        <ext uri="{3e2802c4-a4d2-4d8b-9148-e3be6c30e623}">
          <xlrd:rvb i="792"/>
        </ext>
      </extLst>
    </bk>
    <bk>
      <extLst>
        <ext uri="{3e2802c4-a4d2-4d8b-9148-e3be6c30e623}">
          <xlrd:rvb i="795"/>
        </ext>
      </extLst>
    </bk>
    <bk>
      <extLst>
        <ext uri="{3e2802c4-a4d2-4d8b-9148-e3be6c30e623}">
          <xlrd:rvb i="801"/>
        </ext>
      </extLst>
    </bk>
    <bk>
      <extLst>
        <ext uri="{3e2802c4-a4d2-4d8b-9148-e3be6c30e623}">
          <xlrd:rvb i="798"/>
        </ext>
      </extLst>
    </bk>
    <bk>
      <extLst>
        <ext uri="{3e2802c4-a4d2-4d8b-9148-e3be6c30e623}">
          <xlrd:rvb i="800"/>
        </ext>
      </extLst>
    </bk>
    <bk>
      <extLst>
        <ext uri="{3e2802c4-a4d2-4d8b-9148-e3be6c30e623}">
          <xlrd:rvb i="803"/>
        </ext>
      </extLst>
    </bk>
    <bk>
      <extLst>
        <ext uri="{3e2802c4-a4d2-4d8b-9148-e3be6c30e623}">
          <xlrd:rvb i="811"/>
        </ext>
      </extLst>
    </bk>
    <bk>
      <extLst>
        <ext uri="{3e2802c4-a4d2-4d8b-9148-e3be6c30e623}">
          <xlrd:rvb i="806"/>
        </ext>
      </extLst>
    </bk>
    <bk>
      <extLst>
        <ext uri="{3e2802c4-a4d2-4d8b-9148-e3be6c30e623}">
          <xlrd:rvb i="810"/>
        </ext>
      </extLst>
    </bk>
    <bk>
      <extLst>
        <ext uri="{3e2802c4-a4d2-4d8b-9148-e3be6c30e623}">
          <xlrd:rvb i="813"/>
        </ext>
      </extLst>
    </bk>
    <bk>
      <extLst>
        <ext uri="{3e2802c4-a4d2-4d8b-9148-e3be6c30e623}">
          <xlrd:rvb i="821"/>
        </ext>
      </extLst>
    </bk>
    <bk>
      <extLst>
        <ext uri="{3e2802c4-a4d2-4d8b-9148-e3be6c30e623}">
          <xlrd:rvb i="816"/>
        </ext>
      </extLst>
    </bk>
    <bk>
      <extLst>
        <ext uri="{3e2802c4-a4d2-4d8b-9148-e3be6c30e623}">
          <xlrd:rvb i="820"/>
        </ext>
      </extLst>
    </bk>
    <bk>
      <extLst>
        <ext uri="{3e2802c4-a4d2-4d8b-9148-e3be6c30e623}">
          <xlrd:rvb i="823"/>
        </ext>
      </extLst>
    </bk>
    <bk>
      <extLst>
        <ext uri="{3e2802c4-a4d2-4d8b-9148-e3be6c30e623}">
          <xlrd:rvb i="830"/>
        </ext>
      </extLst>
    </bk>
    <bk>
      <extLst>
        <ext uri="{3e2802c4-a4d2-4d8b-9148-e3be6c30e623}">
          <xlrd:rvb i="826"/>
        </ext>
      </extLst>
    </bk>
    <bk>
      <extLst>
        <ext uri="{3e2802c4-a4d2-4d8b-9148-e3be6c30e623}">
          <xlrd:rvb i="829"/>
        </ext>
      </extLst>
    </bk>
    <bk>
      <extLst>
        <ext uri="{3e2802c4-a4d2-4d8b-9148-e3be6c30e623}">
          <xlrd:rvb i="832"/>
        </ext>
      </extLst>
    </bk>
    <bk>
      <extLst>
        <ext uri="{3e2802c4-a4d2-4d8b-9148-e3be6c30e623}">
          <xlrd:rvb i="839"/>
        </ext>
      </extLst>
    </bk>
    <bk>
      <extLst>
        <ext uri="{3e2802c4-a4d2-4d8b-9148-e3be6c30e623}">
          <xlrd:rvb i="835"/>
        </ext>
      </extLst>
    </bk>
    <bk>
      <extLst>
        <ext uri="{3e2802c4-a4d2-4d8b-9148-e3be6c30e623}">
          <xlrd:rvb i="838"/>
        </ext>
      </extLst>
    </bk>
    <bk>
      <extLst>
        <ext uri="{3e2802c4-a4d2-4d8b-9148-e3be6c30e623}">
          <xlrd:rvb i="841"/>
        </ext>
      </extLst>
    </bk>
    <bk>
      <extLst>
        <ext uri="{3e2802c4-a4d2-4d8b-9148-e3be6c30e623}">
          <xlrd:rvb i="850"/>
        </ext>
      </extLst>
    </bk>
    <bk>
      <extLst>
        <ext uri="{3e2802c4-a4d2-4d8b-9148-e3be6c30e623}">
          <xlrd:rvb i="845"/>
        </ext>
      </extLst>
    </bk>
    <bk>
      <extLst>
        <ext uri="{3e2802c4-a4d2-4d8b-9148-e3be6c30e623}">
          <xlrd:rvb i="849"/>
        </ext>
      </extLst>
    </bk>
    <bk>
      <extLst>
        <ext uri="{3e2802c4-a4d2-4d8b-9148-e3be6c30e623}">
          <xlrd:rvb i="852"/>
        </ext>
      </extLst>
    </bk>
    <bk>
      <extLst>
        <ext uri="{3e2802c4-a4d2-4d8b-9148-e3be6c30e623}">
          <xlrd:rvb i="860"/>
        </ext>
      </extLst>
    </bk>
    <bk>
      <extLst>
        <ext uri="{3e2802c4-a4d2-4d8b-9148-e3be6c30e623}">
          <xlrd:rvb i="855"/>
        </ext>
      </extLst>
    </bk>
    <bk>
      <extLst>
        <ext uri="{3e2802c4-a4d2-4d8b-9148-e3be6c30e623}">
          <xlrd:rvb i="859"/>
        </ext>
      </extLst>
    </bk>
    <bk>
      <extLst>
        <ext uri="{3e2802c4-a4d2-4d8b-9148-e3be6c30e623}">
          <xlrd:rvb i="862"/>
        </ext>
      </extLst>
    </bk>
    <bk>
      <extLst>
        <ext uri="{3e2802c4-a4d2-4d8b-9148-e3be6c30e623}">
          <xlrd:rvb i="868"/>
        </ext>
      </extLst>
    </bk>
    <bk>
      <extLst>
        <ext uri="{3e2802c4-a4d2-4d8b-9148-e3be6c30e623}">
          <xlrd:rvb i="865"/>
        </ext>
      </extLst>
    </bk>
    <bk>
      <extLst>
        <ext uri="{3e2802c4-a4d2-4d8b-9148-e3be6c30e623}">
          <xlrd:rvb i="867"/>
        </ext>
      </extLst>
    </bk>
    <bk>
      <extLst>
        <ext uri="{3e2802c4-a4d2-4d8b-9148-e3be6c30e623}">
          <xlrd:rvb i="870"/>
        </ext>
      </extLst>
    </bk>
    <bk>
      <extLst>
        <ext uri="{3e2802c4-a4d2-4d8b-9148-e3be6c30e623}">
          <xlrd:rvb i="878"/>
        </ext>
      </extLst>
    </bk>
    <bk>
      <extLst>
        <ext uri="{3e2802c4-a4d2-4d8b-9148-e3be6c30e623}">
          <xlrd:rvb i="873"/>
        </ext>
      </extLst>
    </bk>
    <bk>
      <extLst>
        <ext uri="{3e2802c4-a4d2-4d8b-9148-e3be6c30e623}">
          <xlrd:rvb i="877"/>
        </ext>
      </extLst>
    </bk>
    <bk>
      <extLst>
        <ext uri="{3e2802c4-a4d2-4d8b-9148-e3be6c30e623}">
          <xlrd:rvb i="880"/>
        </ext>
      </extLst>
    </bk>
    <bk>
      <extLst>
        <ext uri="{3e2802c4-a4d2-4d8b-9148-e3be6c30e623}">
          <xlrd:rvb i="888"/>
        </ext>
      </extLst>
    </bk>
    <bk>
      <extLst>
        <ext uri="{3e2802c4-a4d2-4d8b-9148-e3be6c30e623}">
          <xlrd:rvb i="883"/>
        </ext>
      </extLst>
    </bk>
    <bk>
      <extLst>
        <ext uri="{3e2802c4-a4d2-4d8b-9148-e3be6c30e623}">
          <xlrd:rvb i="887"/>
        </ext>
      </extLst>
    </bk>
    <bk>
      <extLst>
        <ext uri="{3e2802c4-a4d2-4d8b-9148-e3be6c30e623}">
          <xlrd:rvb i="890"/>
        </ext>
      </extLst>
    </bk>
    <bk>
      <extLst>
        <ext uri="{3e2802c4-a4d2-4d8b-9148-e3be6c30e623}">
          <xlrd:rvb i="898"/>
        </ext>
      </extLst>
    </bk>
    <bk>
      <extLst>
        <ext uri="{3e2802c4-a4d2-4d8b-9148-e3be6c30e623}">
          <xlrd:rvb i="893"/>
        </ext>
      </extLst>
    </bk>
    <bk>
      <extLst>
        <ext uri="{3e2802c4-a4d2-4d8b-9148-e3be6c30e623}">
          <xlrd:rvb i="897"/>
        </ext>
      </extLst>
    </bk>
    <bk>
      <extLst>
        <ext uri="{3e2802c4-a4d2-4d8b-9148-e3be6c30e623}">
          <xlrd:rvb i="900"/>
        </ext>
      </extLst>
    </bk>
    <bk>
      <extLst>
        <ext uri="{3e2802c4-a4d2-4d8b-9148-e3be6c30e623}">
          <xlrd:rvb i="908"/>
        </ext>
      </extLst>
    </bk>
    <bk>
      <extLst>
        <ext uri="{3e2802c4-a4d2-4d8b-9148-e3be6c30e623}">
          <xlrd:rvb i="903"/>
        </ext>
      </extLst>
    </bk>
    <bk>
      <extLst>
        <ext uri="{3e2802c4-a4d2-4d8b-9148-e3be6c30e623}">
          <xlrd:rvb i="907"/>
        </ext>
      </extLst>
    </bk>
    <bk>
      <extLst>
        <ext uri="{3e2802c4-a4d2-4d8b-9148-e3be6c30e623}">
          <xlrd:rvb i="910"/>
        </ext>
      </extLst>
    </bk>
    <bk>
      <extLst>
        <ext uri="{3e2802c4-a4d2-4d8b-9148-e3be6c30e623}">
          <xlrd:rvb i="918"/>
        </ext>
      </extLst>
    </bk>
    <bk>
      <extLst>
        <ext uri="{3e2802c4-a4d2-4d8b-9148-e3be6c30e623}">
          <xlrd:rvb i="913"/>
        </ext>
      </extLst>
    </bk>
    <bk>
      <extLst>
        <ext uri="{3e2802c4-a4d2-4d8b-9148-e3be6c30e623}">
          <xlrd:rvb i="917"/>
        </ext>
      </extLst>
    </bk>
    <bk>
      <extLst>
        <ext uri="{3e2802c4-a4d2-4d8b-9148-e3be6c30e623}">
          <xlrd:rvb i="920"/>
        </ext>
      </extLst>
    </bk>
    <bk>
      <extLst>
        <ext uri="{3e2802c4-a4d2-4d8b-9148-e3be6c30e623}">
          <xlrd:rvb i="929"/>
        </ext>
      </extLst>
    </bk>
    <bk>
      <extLst>
        <ext uri="{3e2802c4-a4d2-4d8b-9148-e3be6c30e623}">
          <xlrd:rvb i="924"/>
        </ext>
      </extLst>
    </bk>
    <bk>
      <extLst>
        <ext uri="{3e2802c4-a4d2-4d8b-9148-e3be6c30e623}">
          <xlrd:rvb i="928"/>
        </ext>
      </extLst>
    </bk>
    <bk>
      <extLst>
        <ext uri="{3e2802c4-a4d2-4d8b-9148-e3be6c30e623}">
          <xlrd:rvb i="931"/>
        </ext>
      </extLst>
    </bk>
    <bk>
      <extLst>
        <ext uri="{3e2802c4-a4d2-4d8b-9148-e3be6c30e623}">
          <xlrd:rvb i="939"/>
        </ext>
      </extLst>
    </bk>
    <bk>
      <extLst>
        <ext uri="{3e2802c4-a4d2-4d8b-9148-e3be6c30e623}">
          <xlrd:rvb i="934"/>
        </ext>
      </extLst>
    </bk>
    <bk>
      <extLst>
        <ext uri="{3e2802c4-a4d2-4d8b-9148-e3be6c30e623}">
          <xlrd:rvb i="938"/>
        </ext>
      </extLst>
    </bk>
    <bk>
      <extLst>
        <ext uri="{3e2802c4-a4d2-4d8b-9148-e3be6c30e623}">
          <xlrd:rvb i="941"/>
        </ext>
      </extLst>
    </bk>
    <bk>
      <extLst>
        <ext uri="{3e2802c4-a4d2-4d8b-9148-e3be6c30e623}">
          <xlrd:rvb i="950"/>
        </ext>
      </extLst>
    </bk>
    <bk>
      <extLst>
        <ext uri="{3e2802c4-a4d2-4d8b-9148-e3be6c30e623}">
          <xlrd:rvb i="945"/>
        </ext>
      </extLst>
    </bk>
    <bk>
      <extLst>
        <ext uri="{3e2802c4-a4d2-4d8b-9148-e3be6c30e623}">
          <xlrd:rvb i="949"/>
        </ext>
      </extLst>
    </bk>
    <bk>
      <extLst>
        <ext uri="{3e2802c4-a4d2-4d8b-9148-e3be6c30e623}">
          <xlrd:rvb i="952"/>
        </ext>
      </extLst>
    </bk>
    <bk>
      <extLst>
        <ext uri="{3e2802c4-a4d2-4d8b-9148-e3be6c30e623}">
          <xlrd:rvb i="959"/>
        </ext>
      </extLst>
    </bk>
    <bk>
      <extLst>
        <ext uri="{3e2802c4-a4d2-4d8b-9148-e3be6c30e623}">
          <xlrd:rvb i="956"/>
        </ext>
      </extLst>
    </bk>
    <bk>
      <extLst>
        <ext uri="{3e2802c4-a4d2-4d8b-9148-e3be6c30e623}">
          <xlrd:rvb i="958"/>
        </ext>
      </extLst>
    </bk>
    <bk>
      <extLst>
        <ext uri="{3e2802c4-a4d2-4d8b-9148-e3be6c30e623}">
          <xlrd:rvb i="961"/>
        </ext>
      </extLst>
    </bk>
    <bk>
      <extLst>
        <ext uri="{3e2802c4-a4d2-4d8b-9148-e3be6c30e623}">
          <xlrd:rvb i="969"/>
        </ext>
      </extLst>
    </bk>
    <bk>
      <extLst>
        <ext uri="{3e2802c4-a4d2-4d8b-9148-e3be6c30e623}">
          <xlrd:rvb i="965"/>
        </ext>
      </extLst>
    </bk>
    <bk>
      <extLst>
        <ext uri="{3e2802c4-a4d2-4d8b-9148-e3be6c30e623}">
          <xlrd:rvb i="968"/>
        </ext>
      </extLst>
    </bk>
    <bk>
      <extLst>
        <ext uri="{3e2802c4-a4d2-4d8b-9148-e3be6c30e623}">
          <xlrd:rvb i="971"/>
        </ext>
      </extLst>
    </bk>
    <bk>
      <extLst>
        <ext uri="{3e2802c4-a4d2-4d8b-9148-e3be6c30e623}">
          <xlrd:rvb i="979"/>
        </ext>
      </extLst>
    </bk>
    <bk>
      <extLst>
        <ext uri="{3e2802c4-a4d2-4d8b-9148-e3be6c30e623}">
          <xlrd:rvb i="974"/>
        </ext>
      </extLst>
    </bk>
    <bk>
      <extLst>
        <ext uri="{3e2802c4-a4d2-4d8b-9148-e3be6c30e623}">
          <xlrd:rvb i="978"/>
        </ext>
      </extLst>
    </bk>
    <bk>
      <extLst>
        <ext uri="{3e2802c4-a4d2-4d8b-9148-e3be6c30e623}">
          <xlrd:rvb i="981"/>
        </ext>
      </extLst>
    </bk>
    <bk>
      <extLst>
        <ext uri="{3e2802c4-a4d2-4d8b-9148-e3be6c30e623}">
          <xlrd:rvb i="989"/>
        </ext>
      </extLst>
    </bk>
    <bk>
      <extLst>
        <ext uri="{3e2802c4-a4d2-4d8b-9148-e3be6c30e623}">
          <xlrd:rvb i="984"/>
        </ext>
      </extLst>
    </bk>
    <bk>
      <extLst>
        <ext uri="{3e2802c4-a4d2-4d8b-9148-e3be6c30e623}">
          <xlrd:rvb i="988"/>
        </ext>
      </extLst>
    </bk>
    <bk>
      <extLst>
        <ext uri="{3e2802c4-a4d2-4d8b-9148-e3be6c30e623}">
          <xlrd:rvb i="991"/>
        </ext>
      </extLst>
    </bk>
    <bk>
      <extLst>
        <ext uri="{3e2802c4-a4d2-4d8b-9148-e3be6c30e623}">
          <xlrd:rvb i="999"/>
        </ext>
      </extLst>
    </bk>
    <bk>
      <extLst>
        <ext uri="{3e2802c4-a4d2-4d8b-9148-e3be6c30e623}">
          <xlrd:rvb i="994"/>
        </ext>
      </extLst>
    </bk>
    <bk>
      <extLst>
        <ext uri="{3e2802c4-a4d2-4d8b-9148-e3be6c30e623}">
          <xlrd:rvb i="998"/>
        </ext>
      </extLst>
    </bk>
    <bk>
      <extLst>
        <ext uri="{3e2802c4-a4d2-4d8b-9148-e3be6c30e623}">
          <xlrd:rvb i="1001"/>
        </ext>
      </extLst>
    </bk>
    <bk>
      <extLst>
        <ext uri="{3e2802c4-a4d2-4d8b-9148-e3be6c30e623}">
          <xlrd:rvb i="1010"/>
        </ext>
      </extLst>
    </bk>
    <bk>
      <extLst>
        <ext uri="{3e2802c4-a4d2-4d8b-9148-e3be6c30e623}">
          <xlrd:rvb i="1005"/>
        </ext>
      </extLst>
    </bk>
    <bk>
      <extLst>
        <ext uri="{3e2802c4-a4d2-4d8b-9148-e3be6c30e623}">
          <xlrd:rvb i="1009"/>
        </ext>
      </extLst>
    </bk>
    <bk>
      <extLst>
        <ext uri="{3e2802c4-a4d2-4d8b-9148-e3be6c30e623}">
          <xlrd:rvb i="1012"/>
        </ext>
      </extLst>
    </bk>
    <bk>
      <extLst>
        <ext uri="{3e2802c4-a4d2-4d8b-9148-e3be6c30e623}">
          <xlrd:rvb i="1020"/>
        </ext>
      </extLst>
    </bk>
    <bk>
      <extLst>
        <ext uri="{3e2802c4-a4d2-4d8b-9148-e3be6c30e623}">
          <xlrd:rvb i="1015"/>
        </ext>
      </extLst>
    </bk>
    <bk>
      <extLst>
        <ext uri="{3e2802c4-a4d2-4d8b-9148-e3be6c30e623}">
          <xlrd:rvb i="1019"/>
        </ext>
      </extLst>
    </bk>
    <bk>
      <extLst>
        <ext uri="{3e2802c4-a4d2-4d8b-9148-e3be6c30e623}">
          <xlrd:rvb i="1022"/>
        </ext>
      </extLst>
    </bk>
    <bk>
      <extLst>
        <ext uri="{3e2802c4-a4d2-4d8b-9148-e3be6c30e623}">
          <xlrd:rvb i="1030"/>
        </ext>
      </extLst>
    </bk>
    <bk>
      <extLst>
        <ext uri="{3e2802c4-a4d2-4d8b-9148-e3be6c30e623}">
          <xlrd:rvb i="1025"/>
        </ext>
      </extLst>
    </bk>
    <bk>
      <extLst>
        <ext uri="{3e2802c4-a4d2-4d8b-9148-e3be6c30e623}">
          <xlrd:rvb i="1029"/>
        </ext>
      </extLst>
    </bk>
    <bk>
      <extLst>
        <ext uri="{3e2802c4-a4d2-4d8b-9148-e3be6c30e623}">
          <xlrd:rvb i="1032"/>
        </ext>
      </extLst>
    </bk>
    <bk>
      <extLst>
        <ext uri="{3e2802c4-a4d2-4d8b-9148-e3be6c30e623}">
          <xlrd:rvb i="1040"/>
        </ext>
      </extLst>
    </bk>
    <bk>
      <extLst>
        <ext uri="{3e2802c4-a4d2-4d8b-9148-e3be6c30e623}">
          <xlrd:rvb i="1035"/>
        </ext>
      </extLst>
    </bk>
    <bk>
      <extLst>
        <ext uri="{3e2802c4-a4d2-4d8b-9148-e3be6c30e623}">
          <xlrd:rvb i="1039"/>
        </ext>
      </extLst>
    </bk>
    <bk>
      <extLst>
        <ext uri="{3e2802c4-a4d2-4d8b-9148-e3be6c30e623}">
          <xlrd:rvb i="1042"/>
        </ext>
      </extLst>
    </bk>
    <bk>
      <extLst>
        <ext uri="{3e2802c4-a4d2-4d8b-9148-e3be6c30e623}">
          <xlrd:rvb i="1050"/>
        </ext>
      </extLst>
    </bk>
    <bk>
      <extLst>
        <ext uri="{3e2802c4-a4d2-4d8b-9148-e3be6c30e623}">
          <xlrd:rvb i="1045"/>
        </ext>
      </extLst>
    </bk>
    <bk>
      <extLst>
        <ext uri="{3e2802c4-a4d2-4d8b-9148-e3be6c30e623}">
          <xlrd:rvb i="1049"/>
        </ext>
      </extLst>
    </bk>
    <bk>
      <extLst>
        <ext uri="{3e2802c4-a4d2-4d8b-9148-e3be6c30e623}">
          <xlrd:rvb i="1052"/>
        </ext>
      </extLst>
    </bk>
    <bk>
      <extLst>
        <ext uri="{3e2802c4-a4d2-4d8b-9148-e3be6c30e623}">
          <xlrd:rvb i="1060"/>
        </ext>
      </extLst>
    </bk>
    <bk>
      <extLst>
        <ext uri="{3e2802c4-a4d2-4d8b-9148-e3be6c30e623}">
          <xlrd:rvb i="1055"/>
        </ext>
      </extLst>
    </bk>
    <bk>
      <extLst>
        <ext uri="{3e2802c4-a4d2-4d8b-9148-e3be6c30e623}">
          <xlrd:rvb i="1059"/>
        </ext>
      </extLst>
    </bk>
    <bk>
      <extLst>
        <ext uri="{3e2802c4-a4d2-4d8b-9148-e3be6c30e623}">
          <xlrd:rvb i="1062"/>
        </ext>
      </extLst>
    </bk>
    <bk>
      <extLst>
        <ext uri="{3e2802c4-a4d2-4d8b-9148-e3be6c30e623}">
          <xlrd:rvb i="1070"/>
        </ext>
      </extLst>
    </bk>
    <bk>
      <extLst>
        <ext uri="{3e2802c4-a4d2-4d8b-9148-e3be6c30e623}">
          <xlrd:rvb i="1065"/>
        </ext>
      </extLst>
    </bk>
    <bk>
      <extLst>
        <ext uri="{3e2802c4-a4d2-4d8b-9148-e3be6c30e623}">
          <xlrd:rvb i="1069"/>
        </ext>
      </extLst>
    </bk>
    <bk>
      <extLst>
        <ext uri="{3e2802c4-a4d2-4d8b-9148-e3be6c30e623}">
          <xlrd:rvb i="1072"/>
        </ext>
      </extLst>
    </bk>
    <bk>
      <extLst>
        <ext uri="{3e2802c4-a4d2-4d8b-9148-e3be6c30e623}">
          <xlrd:rvb i="1080"/>
        </ext>
      </extLst>
    </bk>
    <bk>
      <extLst>
        <ext uri="{3e2802c4-a4d2-4d8b-9148-e3be6c30e623}">
          <xlrd:rvb i="1075"/>
        </ext>
      </extLst>
    </bk>
    <bk>
      <extLst>
        <ext uri="{3e2802c4-a4d2-4d8b-9148-e3be6c30e623}">
          <xlrd:rvb i="1079"/>
        </ext>
      </extLst>
    </bk>
    <bk>
      <extLst>
        <ext uri="{3e2802c4-a4d2-4d8b-9148-e3be6c30e623}">
          <xlrd:rvb i="1082"/>
        </ext>
      </extLst>
    </bk>
    <bk>
      <extLst>
        <ext uri="{3e2802c4-a4d2-4d8b-9148-e3be6c30e623}">
          <xlrd:rvb i="1090"/>
        </ext>
      </extLst>
    </bk>
    <bk>
      <extLst>
        <ext uri="{3e2802c4-a4d2-4d8b-9148-e3be6c30e623}">
          <xlrd:rvb i="1085"/>
        </ext>
      </extLst>
    </bk>
    <bk>
      <extLst>
        <ext uri="{3e2802c4-a4d2-4d8b-9148-e3be6c30e623}">
          <xlrd:rvb i="1089"/>
        </ext>
      </extLst>
    </bk>
    <bk>
      <extLst>
        <ext uri="{3e2802c4-a4d2-4d8b-9148-e3be6c30e623}">
          <xlrd:rvb i="1092"/>
        </ext>
      </extLst>
    </bk>
    <bk>
      <extLst>
        <ext uri="{3e2802c4-a4d2-4d8b-9148-e3be6c30e623}">
          <xlrd:rvb i="1101"/>
        </ext>
      </extLst>
    </bk>
    <bk>
      <extLst>
        <ext uri="{3e2802c4-a4d2-4d8b-9148-e3be6c30e623}">
          <xlrd:rvb i="1096"/>
        </ext>
      </extLst>
    </bk>
    <bk>
      <extLst>
        <ext uri="{3e2802c4-a4d2-4d8b-9148-e3be6c30e623}">
          <xlrd:rvb i="1100"/>
        </ext>
      </extLst>
    </bk>
    <bk>
      <extLst>
        <ext uri="{3e2802c4-a4d2-4d8b-9148-e3be6c30e623}">
          <xlrd:rvb i="1103"/>
        </ext>
      </extLst>
    </bk>
    <bk>
      <extLst>
        <ext uri="{3e2802c4-a4d2-4d8b-9148-e3be6c30e623}">
          <xlrd:rvb i="1109"/>
        </ext>
      </extLst>
    </bk>
    <bk>
      <extLst>
        <ext uri="{3e2802c4-a4d2-4d8b-9148-e3be6c30e623}">
          <xlrd:rvb i="1106"/>
        </ext>
      </extLst>
    </bk>
    <bk>
      <extLst>
        <ext uri="{3e2802c4-a4d2-4d8b-9148-e3be6c30e623}">
          <xlrd:rvb i="1108"/>
        </ext>
      </extLst>
    </bk>
    <bk>
      <extLst>
        <ext uri="{3e2802c4-a4d2-4d8b-9148-e3be6c30e623}">
          <xlrd:rvb i="1111"/>
        </ext>
      </extLst>
    </bk>
    <bk>
      <extLst>
        <ext uri="{3e2802c4-a4d2-4d8b-9148-e3be6c30e623}">
          <xlrd:rvb i="1120"/>
        </ext>
      </extLst>
    </bk>
    <bk>
      <extLst>
        <ext uri="{3e2802c4-a4d2-4d8b-9148-e3be6c30e623}">
          <xlrd:rvb i="1114"/>
        </ext>
      </extLst>
    </bk>
    <bk>
      <extLst>
        <ext uri="{3e2802c4-a4d2-4d8b-9148-e3be6c30e623}">
          <xlrd:rvb i="1119"/>
        </ext>
      </extLst>
    </bk>
    <bk>
      <extLst>
        <ext uri="{3e2802c4-a4d2-4d8b-9148-e3be6c30e623}">
          <xlrd:rvb i="1122"/>
        </ext>
      </extLst>
    </bk>
    <bk>
      <extLst>
        <ext uri="{3e2802c4-a4d2-4d8b-9148-e3be6c30e623}">
          <xlrd:rvb i="1131"/>
        </ext>
      </extLst>
    </bk>
    <bk>
      <extLst>
        <ext uri="{3e2802c4-a4d2-4d8b-9148-e3be6c30e623}">
          <xlrd:rvb i="1126"/>
        </ext>
      </extLst>
    </bk>
    <bk>
      <extLst>
        <ext uri="{3e2802c4-a4d2-4d8b-9148-e3be6c30e623}">
          <xlrd:rvb i="1130"/>
        </ext>
      </extLst>
    </bk>
    <bk>
      <extLst>
        <ext uri="{3e2802c4-a4d2-4d8b-9148-e3be6c30e623}">
          <xlrd:rvb i="1133"/>
        </ext>
      </extLst>
    </bk>
    <bk>
      <extLst>
        <ext uri="{3e2802c4-a4d2-4d8b-9148-e3be6c30e623}">
          <xlrd:rvb i="1141"/>
        </ext>
      </extLst>
    </bk>
    <bk>
      <extLst>
        <ext uri="{3e2802c4-a4d2-4d8b-9148-e3be6c30e623}">
          <xlrd:rvb i="1136"/>
        </ext>
      </extLst>
    </bk>
    <bk>
      <extLst>
        <ext uri="{3e2802c4-a4d2-4d8b-9148-e3be6c30e623}">
          <xlrd:rvb i="1140"/>
        </ext>
      </extLst>
    </bk>
    <bk>
      <extLst>
        <ext uri="{3e2802c4-a4d2-4d8b-9148-e3be6c30e623}">
          <xlrd:rvb i="1143"/>
        </ext>
      </extLst>
    </bk>
    <bk>
      <extLst>
        <ext uri="{3e2802c4-a4d2-4d8b-9148-e3be6c30e623}">
          <xlrd:rvb i="1152"/>
        </ext>
      </extLst>
    </bk>
    <bk>
      <extLst>
        <ext uri="{3e2802c4-a4d2-4d8b-9148-e3be6c30e623}">
          <xlrd:rvb i="1147"/>
        </ext>
      </extLst>
    </bk>
    <bk>
      <extLst>
        <ext uri="{3e2802c4-a4d2-4d8b-9148-e3be6c30e623}">
          <xlrd:rvb i="1151"/>
        </ext>
      </extLst>
    </bk>
    <bk>
      <extLst>
        <ext uri="{3e2802c4-a4d2-4d8b-9148-e3be6c30e623}">
          <xlrd:rvb i="1154"/>
        </ext>
      </extLst>
    </bk>
    <bk>
      <extLst>
        <ext uri="{3e2802c4-a4d2-4d8b-9148-e3be6c30e623}">
          <xlrd:rvb i="1162"/>
        </ext>
      </extLst>
    </bk>
    <bk>
      <extLst>
        <ext uri="{3e2802c4-a4d2-4d8b-9148-e3be6c30e623}">
          <xlrd:rvb i="1157"/>
        </ext>
      </extLst>
    </bk>
    <bk>
      <extLst>
        <ext uri="{3e2802c4-a4d2-4d8b-9148-e3be6c30e623}">
          <xlrd:rvb i="1161"/>
        </ext>
      </extLst>
    </bk>
    <bk>
      <extLst>
        <ext uri="{3e2802c4-a4d2-4d8b-9148-e3be6c30e623}">
          <xlrd:rvb i="1164"/>
        </ext>
      </extLst>
    </bk>
    <bk>
      <extLst>
        <ext uri="{3e2802c4-a4d2-4d8b-9148-e3be6c30e623}">
          <xlrd:rvb i="1172"/>
        </ext>
      </extLst>
    </bk>
    <bk>
      <extLst>
        <ext uri="{3e2802c4-a4d2-4d8b-9148-e3be6c30e623}">
          <xlrd:rvb i="1167"/>
        </ext>
      </extLst>
    </bk>
    <bk>
      <extLst>
        <ext uri="{3e2802c4-a4d2-4d8b-9148-e3be6c30e623}">
          <xlrd:rvb i="1171"/>
        </ext>
      </extLst>
    </bk>
    <bk>
      <extLst>
        <ext uri="{3e2802c4-a4d2-4d8b-9148-e3be6c30e623}">
          <xlrd:rvb i="1174"/>
        </ext>
      </extLst>
    </bk>
    <bk>
      <extLst>
        <ext uri="{3e2802c4-a4d2-4d8b-9148-e3be6c30e623}">
          <xlrd:rvb i="1182"/>
        </ext>
      </extLst>
    </bk>
    <bk>
      <extLst>
        <ext uri="{3e2802c4-a4d2-4d8b-9148-e3be6c30e623}">
          <xlrd:rvb i="1177"/>
        </ext>
      </extLst>
    </bk>
    <bk>
      <extLst>
        <ext uri="{3e2802c4-a4d2-4d8b-9148-e3be6c30e623}">
          <xlrd:rvb i="1181"/>
        </ext>
      </extLst>
    </bk>
    <bk>
      <extLst>
        <ext uri="{3e2802c4-a4d2-4d8b-9148-e3be6c30e623}">
          <xlrd:rvb i="1184"/>
        </ext>
      </extLst>
    </bk>
    <bk>
      <extLst>
        <ext uri="{3e2802c4-a4d2-4d8b-9148-e3be6c30e623}">
          <xlrd:rvb i="1192"/>
        </ext>
      </extLst>
    </bk>
    <bk>
      <extLst>
        <ext uri="{3e2802c4-a4d2-4d8b-9148-e3be6c30e623}">
          <xlrd:rvb i="1187"/>
        </ext>
      </extLst>
    </bk>
    <bk>
      <extLst>
        <ext uri="{3e2802c4-a4d2-4d8b-9148-e3be6c30e623}">
          <xlrd:rvb i="1191"/>
        </ext>
      </extLst>
    </bk>
    <bk>
      <extLst>
        <ext uri="{3e2802c4-a4d2-4d8b-9148-e3be6c30e623}">
          <xlrd:rvb i="1194"/>
        </ext>
      </extLst>
    </bk>
    <bk>
      <extLst>
        <ext uri="{3e2802c4-a4d2-4d8b-9148-e3be6c30e623}">
          <xlrd:rvb i="1203"/>
        </ext>
      </extLst>
    </bk>
    <bk>
      <extLst>
        <ext uri="{3e2802c4-a4d2-4d8b-9148-e3be6c30e623}">
          <xlrd:rvb i="1198"/>
        </ext>
      </extLst>
    </bk>
    <bk>
      <extLst>
        <ext uri="{3e2802c4-a4d2-4d8b-9148-e3be6c30e623}">
          <xlrd:rvb i="1202"/>
        </ext>
      </extLst>
    </bk>
    <bk>
      <extLst>
        <ext uri="{3e2802c4-a4d2-4d8b-9148-e3be6c30e623}">
          <xlrd:rvb i="1205"/>
        </ext>
      </extLst>
    </bk>
    <bk>
      <extLst>
        <ext uri="{3e2802c4-a4d2-4d8b-9148-e3be6c30e623}">
          <xlrd:rvb i="1213"/>
        </ext>
      </extLst>
    </bk>
    <bk>
      <extLst>
        <ext uri="{3e2802c4-a4d2-4d8b-9148-e3be6c30e623}">
          <xlrd:rvb i="1208"/>
        </ext>
      </extLst>
    </bk>
    <bk>
      <extLst>
        <ext uri="{3e2802c4-a4d2-4d8b-9148-e3be6c30e623}">
          <xlrd:rvb i="1212"/>
        </ext>
      </extLst>
    </bk>
    <bk>
      <extLst>
        <ext uri="{3e2802c4-a4d2-4d8b-9148-e3be6c30e623}">
          <xlrd:rvb i="1215"/>
        </ext>
      </extLst>
    </bk>
    <bk>
      <extLst>
        <ext uri="{3e2802c4-a4d2-4d8b-9148-e3be6c30e623}">
          <xlrd:rvb i="1223"/>
        </ext>
      </extLst>
    </bk>
    <bk>
      <extLst>
        <ext uri="{3e2802c4-a4d2-4d8b-9148-e3be6c30e623}">
          <xlrd:rvb i="1218"/>
        </ext>
      </extLst>
    </bk>
    <bk>
      <extLst>
        <ext uri="{3e2802c4-a4d2-4d8b-9148-e3be6c30e623}">
          <xlrd:rvb i="1222"/>
        </ext>
      </extLst>
    </bk>
    <bk>
      <extLst>
        <ext uri="{3e2802c4-a4d2-4d8b-9148-e3be6c30e623}">
          <xlrd:rvb i="1225"/>
        </ext>
      </extLst>
    </bk>
    <bk>
      <extLst>
        <ext uri="{3e2802c4-a4d2-4d8b-9148-e3be6c30e623}">
          <xlrd:rvb i="1233"/>
        </ext>
      </extLst>
    </bk>
    <bk>
      <extLst>
        <ext uri="{3e2802c4-a4d2-4d8b-9148-e3be6c30e623}">
          <xlrd:rvb i="1228"/>
        </ext>
      </extLst>
    </bk>
    <bk>
      <extLst>
        <ext uri="{3e2802c4-a4d2-4d8b-9148-e3be6c30e623}">
          <xlrd:rvb i="1232"/>
        </ext>
      </extLst>
    </bk>
    <bk>
      <extLst>
        <ext uri="{3e2802c4-a4d2-4d8b-9148-e3be6c30e623}">
          <xlrd:rvb i="1235"/>
        </ext>
      </extLst>
    </bk>
    <bk>
      <extLst>
        <ext uri="{3e2802c4-a4d2-4d8b-9148-e3be6c30e623}">
          <xlrd:rvb i="1244"/>
        </ext>
      </extLst>
    </bk>
    <bk>
      <extLst>
        <ext uri="{3e2802c4-a4d2-4d8b-9148-e3be6c30e623}">
          <xlrd:rvb i="1239"/>
        </ext>
      </extLst>
    </bk>
    <bk>
      <extLst>
        <ext uri="{3e2802c4-a4d2-4d8b-9148-e3be6c30e623}">
          <xlrd:rvb i="1243"/>
        </ext>
      </extLst>
    </bk>
    <bk>
      <extLst>
        <ext uri="{3e2802c4-a4d2-4d8b-9148-e3be6c30e623}">
          <xlrd:rvb i="1246"/>
        </ext>
      </extLst>
    </bk>
    <bk>
      <extLst>
        <ext uri="{3e2802c4-a4d2-4d8b-9148-e3be6c30e623}">
          <xlrd:rvb i="1254"/>
        </ext>
      </extLst>
    </bk>
    <bk>
      <extLst>
        <ext uri="{3e2802c4-a4d2-4d8b-9148-e3be6c30e623}">
          <xlrd:rvb i="1249"/>
        </ext>
      </extLst>
    </bk>
    <bk>
      <extLst>
        <ext uri="{3e2802c4-a4d2-4d8b-9148-e3be6c30e623}">
          <xlrd:rvb i="1253"/>
        </ext>
      </extLst>
    </bk>
    <bk>
      <extLst>
        <ext uri="{3e2802c4-a4d2-4d8b-9148-e3be6c30e623}">
          <xlrd:rvb i="1256"/>
        </ext>
      </extLst>
    </bk>
    <bk>
      <extLst>
        <ext uri="{3e2802c4-a4d2-4d8b-9148-e3be6c30e623}">
          <xlrd:rvb i="1264"/>
        </ext>
      </extLst>
    </bk>
    <bk>
      <extLst>
        <ext uri="{3e2802c4-a4d2-4d8b-9148-e3be6c30e623}">
          <xlrd:rvb i="1259"/>
        </ext>
      </extLst>
    </bk>
    <bk>
      <extLst>
        <ext uri="{3e2802c4-a4d2-4d8b-9148-e3be6c30e623}">
          <xlrd:rvb i="1263"/>
        </ext>
      </extLst>
    </bk>
    <bk>
      <extLst>
        <ext uri="{3e2802c4-a4d2-4d8b-9148-e3be6c30e623}">
          <xlrd:rvb i="1266"/>
        </ext>
      </extLst>
    </bk>
    <bk>
      <extLst>
        <ext uri="{3e2802c4-a4d2-4d8b-9148-e3be6c30e623}">
          <xlrd:rvb i="1274"/>
        </ext>
      </extLst>
    </bk>
    <bk>
      <extLst>
        <ext uri="{3e2802c4-a4d2-4d8b-9148-e3be6c30e623}">
          <xlrd:rvb i="1269"/>
        </ext>
      </extLst>
    </bk>
    <bk>
      <extLst>
        <ext uri="{3e2802c4-a4d2-4d8b-9148-e3be6c30e623}">
          <xlrd:rvb i="1273"/>
        </ext>
      </extLst>
    </bk>
    <bk>
      <extLst>
        <ext uri="{3e2802c4-a4d2-4d8b-9148-e3be6c30e623}">
          <xlrd:rvb i="1276"/>
        </ext>
      </extLst>
    </bk>
    <bk>
      <extLst>
        <ext uri="{3e2802c4-a4d2-4d8b-9148-e3be6c30e623}">
          <xlrd:rvb i="1284"/>
        </ext>
      </extLst>
    </bk>
    <bk>
      <extLst>
        <ext uri="{3e2802c4-a4d2-4d8b-9148-e3be6c30e623}">
          <xlrd:rvb i="1279"/>
        </ext>
      </extLst>
    </bk>
    <bk>
      <extLst>
        <ext uri="{3e2802c4-a4d2-4d8b-9148-e3be6c30e623}">
          <xlrd:rvb i="1283"/>
        </ext>
      </extLst>
    </bk>
    <bk>
      <extLst>
        <ext uri="{3e2802c4-a4d2-4d8b-9148-e3be6c30e623}">
          <xlrd:rvb i="1286"/>
        </ext>
      </extLst>
    </bk>
    <bk>
      <extLst>
        <ext uri="{3e2802c4-a4d2-4d8b-9148-e3be6c30e623}">
          <xlrd:rvb i="1294"/>
        </ext>
      </extLst>
    </bk>
    <bk>
      <extLst>
        <ext uri="{3e2802c4-a4d2-4d8b-9148-e3be6c30e623}">
          <xlrd:rvb i="1289"/>
        </ext>
      </extLst>
    </bk>
    <bk>
      <extLst>
        <ext uri="{3e2802c4-a4d2-4d8b-9148-e3be6c30e623}">
          <xlrd:rvb i="1293"/>
        </ext>
      </extLst>
    </bk>
    <bk>
      <extLst>
        <ext uri="{3e2802c4-a4d2-4d8b-9148-e3be6c30e623}">
          <xlrd:rvb i="1296"/>
        </ext>
      </extLst>
    </bk>
    <bk>
      <extLst>
        <ext uri="{3e2802c4-a4d2-4d8b-9148-e3be6c30e623}">
          <xlrd:rvb i="1305"/>
        </ext>
      </extLst>
    </bk>
    <bk>
      <extLst>
        <ext uri="{3e2802c4-a4d2-4d8b-9148-e3be6c30e623}">
          <xlrd:rvb i="1300"/>
        </ext>
      </extLst>
    </bk>
    <bk>
      <extLst>
        <ext uri="{3e2802c4-a4d2-4d8b-9148-e3be6c30e623}">
          <xlrd:rvb i="1304"/>
        </ext>
      </extLst>
    </bk>
    <bk>
      <extLst>
        <ext uri="{3e2802c4-a4d2-4d8b-9148-e3be6c30e623}">
          <xlrd:rvb i="1307"/>
        </ext>
      </extLst>
    </bk>
    <bk>
      <extLst>
        <ext uri="{3e2802c4-a4d2-4d8b-9148-e3be6c30e623}">
          <xlrd:rvb i="1315"/>
        </ext>
      </extLst>
    </bk>
    <bk>
      <extLst>
        <ext uri="{3e2802c4-a4d2-4d8b-9148-e3be6c30e623}">
          <xlrd:rvb i="1310"/>
        </ext>
      </extLst>
    </bk>
    <bk>
      <extLst>
        <ext uri="{3e2802c4-a4d2-4d8b-9148-e3be6c30e623}">
          <xlrd:rvb i="1314"/>
        </ext>
      </extLst>
    </bk>
    <bk>
      <extLst>
        <ext uri="{3e2802c4-a4d2-4d8b-9148-e3be6c30e623}">
          <xlrd:rvb i="1317"/>
        </ext>
      </extLst>
    </bk>
    <bk>
      <extLst>
        <ext uri="{3e2802c4-a4d2-4d8b-9148-e3be6c30e623}">
          <xlrd:rvb i="1325"/>
        </ext>
      </extLst>
    </bk>
    <bk>
      <extLst>
        <ext uri="{3e2802c4-a4d2-4d8b-9148-e3be6c30e623}">
          <xlrd:rvb i="1320"/>
        </ext>
      </extLst>
    </bk>
    <bk>
      <extLst>
        <ext uri="{3e2802c4-a4d2-4d8b-9148-e3be6c30e623}">
          <xlrd:rvb i="1324"/>
        </ext>
      </extLst>
    </bk>
    <bk>
      <extLst>
        <ext uri="{3e2802c4-a4d2-4d8b-9148-e3be6c30e623}">
          <xlrd:rvb i="1327"/>
        </ext>
      </extLst>
    </bk>
    <bk>
      <extLst>
        <ext uri="{3e2802c4-a4d2-4d8b-9148-e3be6c30e623}">
          <xlrd:rvb i="1333"/>
        </ext>
      </extLst>
    </bk>
    <bk>
      <extLst>
        <ext uri="{3e2802c4-a4d2-4d8b-9148-e3be6c30e623}">
          <xlrd:rvb i="1330"/>
        </ext>
      </extLst>
    </bk>
    <bk>
      <extLst>
        <ext uri="{3e2802c4-a4d2-4d8b-9148-e3be6c30e623}">
          <xlrd:rvb i="1332"/>
        </ext>
      </extLst>
    </bk>
    <bk>
      <extLst>
        <ext uri="{3e2802c4-a4d2-4d8b-9148-e3be6c30e623}">
          <xlrd:rvb i="1335"/>
        </ext>
      </extLst>
    </bk>
    <bk>
      <extLst>
        <ext uri="{3e2802c4-a4d2-4d8b-9148-e3be6c30e623}">
          <xlrd:rvb i="1340"/>
        </ext>
      </extLst>
    </bk>
    <bk>
      <extLst>
        <ext uri="{3e2802c4-a4d2-4d8b-9148-e3be6c30e623}">
          <xlrd:rvb i="1337"/>
        </ext>
      </extLst>
    </bk>
    <bk>
      <extLst>
        <ext uri="{3e2802c4-a4d2-4d8b-9148-e3be6c30e623}">
          <xlrd:rvb i="1339"/>
        </ext>
      </extLst>
    </bk>
    <bk>
      <extLst>
        <ext uri="{3e2802c4-a4d2-4d8b-9148-e3be6c30e623}">
          <xlrd:rvb i="1342"/>
        </ext>
      </extLst>
    </bk>
    <bk>
      <extLst>
        <ext uri="{3e2802c4-a4d2-4d8b-9148-e3be6c30e623}">
          <xlrd:rvb i="306"/>
        </ext>
      </extLst>
    </bk>
    <bk>
      <extLst>
        <ext uri="{3e2802c4-a4d2-4d8b-9148-e3be6c30e623}">
          <xlrd:rvb i="301"/>
        </ext>
      </extLst>
    </bk>
    <bk>
      <extLst>
        <ext uri="{3e2802c4-a4d2-4d8b-9148-e3be6c30e623}">
          <xlrd:rvb i="305"/>
        </ext>
      </extLst>
    </bk>
    <bk>
      <extLst>
        <ext uri="{3e2802c4-a4d2-4d8b-9148-e3be6c30e623}">
          <xlrd:rvb i="1343"/>
        </ext>
      </extLst>
    </bk>
    <bk>
      <extLst>
        <ext uri="{3e2802c4-a4d2-4d8b-9148-e3be6c30e623}">
          <xlrd:rvb i="1358"/>
        </ext>
      </extLst>
    </bk>
    <bk>
      <extLst>
        <ext uri="{3e2802c4-a4d2-4d8b-9148-e3be6c30e623}">
          <xlrd:rvb i="1346"/>
        </ext>
      </extLst>
    </bk>
    <bk>
      <extLst>
        <ext uri="{3e2802c4-a4d2-4d8b-9148-e3be6c30e623}">
          <xlrd:rvb i="1357"/>
        </ext>
      </extLst>
    </bk>
    <bk>
      <extLst>
        <ext uri="{3e2802c4-a4d2-4d8b-9148-e3be6c30e623}">
          <xlrd:rvb i="1360"/>
        </ext>
      </extLst>
    </bk>
    <bk>
      <extLst>
        <ext uri="{3e2802c4-a4d2-4d8b-9148-e3be6c30e623}">
          <xlrd:rvb i="1367"/>
        </ext>
      </extLst>
    </bk>
    <bk>
      <extLst>
        <ext uri="{3e2802c4-a4d2-4d8b-9148-e3be6c30e623}">
          <xlrd:rvb i="1364"/>
        </ext>
      </extLst>
    </bk>
    <bk>
      <extLst>
        <ext uri="{3e2802c4-a4d2-4d8b-9148-e3be6c30e623}">
          <xlrd:rvb i="1366"/>
        </ext>
      </extLst>
    </bk>
    <bk>
      <extLst>
        <ext uri="{3e2802c4-a4d2-4d8b-9148-e3be6c30e623}">
          <xlrd:rvb i="1369"/>
        </ext>
      </extLst>
    </bk>
    <bk>
      <extLst>
        <ext uri="{3e2802c4-a4d2-4d8b-9148-e3be6c30e623}">
          <xlrd:rvb i="1377"/>
        </ext>
      </extLst>
    </bk>
    <bk>
      <extLst>
        <ext uri="{3e2802c4-a4d2-4d8b-9148-e3be6c30e623}">
          <xlrd:rvb i="1372"/>
        </ext>
      </extLst>
    </bk>
    <bk>
      <extLst>
        <ext uri="{3e2802c4-a4d2-4d8b-9148-e3be6c30e623}">
          <xlrd:rvb i="1376"/>
        </ext>
      </extLst>
    </bk>
    <bk>
      <extLst>
        <ext uri="{3e2802c4-a4d2-4d8b-9148-e3be6c30e623}">
          <xlrd:rvb i="1379"/>
        </ext>
      </extLst>
    </bk>
    <bk>
      <extLst>
        <ext uri="{3e2802c4-a4d2-4d8b-9148-e3be6c30e623}">
          <xlrd:rvb i="1387"/>
        </ext>
      </extLst>
    </bk>
    <bk>
      <extLst>
        <ext uri="{3e2802c4-a4d2-4d8b-9148-e3be6c30e623}">
          <xlrd:rvb i="1382"/>
        </ext>
      </extLst>
    </bk>
    <bk>
      <extLst>
        <ext uri="{3e2802c4-a4d2-4d8b-9148-e3be6c30e623}">
          <xlrd:rvb i="1386"/>
        </ext>
      </extLst>
    </bk>
    <bk>
      <extLst>
        <ext uri="{3e2802c4-a4d2-4d8b-9148-e3be6c30e623}">
          <xlrd:rvb i="1389"/>
        </ext>
      </extLst>
    </bk>
    <bk>
      <extLst>
        <ext uri="{3e2802c4-a4d2-4d8b-9148-e3be6c30e623}">
          <xlrd:rvb i="1396"/>
        </ext>
      </extLst>
    </bk>
    <bk>
      <extLst>
        <ext uri="{3e2802c4-a4d2-4d8b-9148-e3be6c30e623}">
          <xlrd:rvb i="1392"/>
        </ext>
      </extLst>
    </bk>
    <bk>
      <extLst>
        <ext uri="{3e2802c4-a4d2-4d8b-9148-e3be6c30e623}">
          <xlrd:rvb i="1395"/>
        </ext>
      </extLst>
    </bk>
    <bk>
      <extLst>
        <ext uri="{3e2802c4-a4d2-4d8b-9148-e3be6c30e623}">
          <xlrd:rvb i="1398"/>
        </ext>
      </extLst>
    </bk>
    <bk>
      <extLst>
        <ext uri="{3e2802c4-a4d2-4d8b-9148-e3be6c30e623}">
          <xlrd:rvb i="1405"/>
        </ext>
      </extLst>
    </bk>
    <bk>
      <extLst>
        <ext uri="{3e2802c4-a4d2-4d8b-9148-e3be6c30e623}">
          <xlrd:rvb i="1401"/>
        </ext>
      </extLst>
    </bk>
    <bk>
      <extLst>
        <ext uri="{3e2802c4-a4d2-4d8b-9148-e3be6c30e623}">
          <xlrd:rvb i="1404"/>
        </ext>
      </extLst>
    </bk>
    <bk>
      <extLst>
        <ext uri="{3e2802c4-a4d2-4d8b-9148-e3be6c30e623}">
          <xlrd:rvb i="1407"/>
        </ext>
      </extLst>
    </bk>
    <bk>
      <extLst>
        <ext uri="{3e2802c4-a4d2-4d8b-9148-e3be6c30e623}">
          <xlrd:rvb i="1415"/>
        </ext>
      </extLst>
    </bk>
    <bk>
      <extLst>
        <ext uri="{3e2802c4-a4d2-4d8b-9148-e3be6c30e623}">
          <xlrd:rvb i="1410"/>
        </ext>
      </extLst>
    </bk>
    <bk>
      <extLst>
        <ext uri="{3e2802c4-a4d2-4d8b-9148-e3be6c30e623}">
          <xlrd:rvb i="1414"/>
        </ext>
      </extLst>
    </bk>
    <bk>
      <extLst>
        <ext uri="{3e2802c4-a4d2-4d8b-9148-e3be6c30e623}">
          <xlrd:rvb i="1417"/>
        </ext>
      </extLst>
    </bk>
    <bk>
      <extLst>
        <ext uri="{3e2802c4-a4d2-4d8b-9148-e3be6c30e623}">
          <xlrd:rvb i="1425"/>
        </ext>
      </extLst>
    </bk>
    <bk>
      <extLst>
        <ext uri="{3e2802c4-a4d2-4d8b-9148-e3be6c30e623}">
          <xlrd:rvb i="1420"/>
        </ext>
      </extLst>
    </bk>
    <bk>
      <extLst>
        <ext uri="{3e2802c4-a4d2-4d8b-9148-e3be6c30e623}">
          <xlrd:rvb i="1424"/>
        </ext>
      </extLst>
    </bk>
    <bk>
      <extLst>
        <ext uri="{3e2802c4-a4d2-4d8b-9148-e3be6c30e623}">
          <xlrd:rvb i="1427"/>
        </ext>
      </extLst>
    </bk>
    <bk>
      <extLst>
        <ext uri="{3e2802c4-a4d2-4d8b-9148-e3be6c30e623}">
          <xlrd:rvb i="1435"/>
        </ext>
      </extLst>
    </bk>
    <bk>
      <extLst>
        <ext uri="{3e2802c4-a4d2-4d8b-9148-e3be6c30e623}">
          <xlrd:rvb i="1430"/>
        </ext>
      </extLst>
    </bk>
    <bk>
      <extLst>
        <ext uri="{3e2802c4-a4d2-4d8b-9148-e3be6c30e623}">
          <xlrd:rvb i="1434"/>
        </ext>
      </extLst>
    </bk>
    <bk>
      <extLst>
        <ext uri="{3e2802c4-a4d2-4d8b-9148-e3be6c30e623}">
          <xlrd:rvb i="1437"/>
        </ext>
      </extLst>
    </bk>
    <bk>
      <extLst>
        <ext uri="{3e2802c4-a4d2-4d8b-9148-e3be6c30e623}">
          <xlrd:rvb i="1445"/>
        </ext>
      </extLst>
    </bk>
    <bk>
      <extLst>
        <ext uri="{3e2802c4-a4d2-4d8b-9148-e3be6c30e623}">
          <xlrd:rvb i="1440"/>
        </ext>
      </extLst>
    </bk>
    <bk>
      <extLst>
        <ext uri="{3e2802c4-a4d2-4d8b-9148-e3be6c30e623}">
          <xlrd:rvb i="1444"/>
        </ext>
      </extLst>
    </bk>
    <bk>
      <extLst>
        <ext uri="{3e2802c4-a4d2-4d8b-9148-e3be6c30e623}">
          <xlrd:rvb i="1447"/>
        </ext>
      </extLst>
    </bk>
    <bk>
      <extLst>
        <ext uri="{3e2802c4-a4d2-4d8b-9148-e3be6c30e623}">
          <xlrd:rvb i="1454"/>
        </ext>
      </extLst>
    </bk>
    <bk>
      <extLst>
        <ext uri="{3e2802c4-a4d2-4d8b-9148-e3be6c30e623}">
          <xlrd:rvb i="1451"/>
        </ext>
      </extLst>
    </bk>
    <bk>
      <extLst>
        <ext uri="{3e2802c4-a4d2-4d8b-9148-e3be6c30e623}">
          <xlrd:rvb i="1453"/>
        </ext>
      </extLst>
    </bk>
    <bk>
      <extLst>
        <ext uri="{3e2802c4-a4d2-4d8b-9148-e3be6c30e623}">
          <xlrd:rvb i="1456"/>
        </ext>
      </extLst>
    </bk>
    <bk>
      <extLst>
        <ext uri="{3e2802c4-a4d2-4d8b-9148-e3be6c30e623}">
          <xlrd:rvb i="1464"/>
        </ext>
      </extLst>
    </bk>
    <bk>
      <extLst>
        <ext uri="{3e2802c4-a4d2-4d8b-9148-e3be6c30e623}">
          <xlrd:rvb i="1459"/>
        </ext>
      </extLst>
    </bk>
    <bk>
      <extLst>
        <ext uri="{3e2802c4-a4d2-4d8b-9148-e3be6c30e623}">
          <xlrd:rvb i="1463"/>
        </ext>
      </extLst>
    </bk>
    <bk>
      <extLst>
        <ext uri="{3e2802c4-a4d2-4d8b-9148-e3be6c30e623}">
          <xlrd:rvb i="1466"/>
        </ext>
      </extLst>
    </bk>
    <bk>
      <extLst>
        <ext uri="{3e2802c4-a4d2-4d8b-9148-e3be6c30e623}">
          <xlrd:rvb i="1472"/>
        </ext>
      </extLst>
    </bk>
    <bk>
      <extLst>
        <ext uri="{3e2802c4-a4d2-4d8b-9148-e3be6c30e623}">
          <xlrd:rvb i="1469"/>
        </ext>
      </extLst>
    </bk>
    <bk>
      <extLst>
        <ext uri="{3e2802c4-a4d2-4d8b-9148-e3be6c30e623}">
          <xlrd:rvb i="1471"/>
        </ext>
      </extLst>
    </bk>
    <bk>
      <extLst>
        <ext uri="{3e2802c4-a4d2-4d8b-9148-e3be6c30e623}">
          <xlrd:rvb i="1474"/>
        </ext>
      </extLst>
    </bk>
    <bk>
      <extLst>
        <ext uri="{3e2802c4-a4d2-4d8b-9148-e3be6c30e623}">
          <xlrd:rvb i="1483"/>
        </ext>
      </extLst>
    </bk>
    <bk>
      <extLst>
        <ext uri="{3e2802c4-a4d2-4d8b-9148-e3be6c30e623}">
          <xlrd:rvb i="1478"/>
        </ext>
      </extLst>
    </bk>
    <bk>
      <extLst>
        <ext uri="{3e2802c4-a4d2-4d8b-9148-e3be6c30e623}">
          <xlrd:rvb i="1482"/>
        </ext>
      </extLst>
    </bk>
    <bk>
      <extLst>
        <ext uri="{3e2802c4-a4d2-4d8b-9148-e3be6c30e623}">
          <xlrd:rvb i="1485"/>
        </ext>
      </extLst>
    </bk>
    <bk>
      <extLst>
        <ext uri="{3e2802c4-a4d2-4d8b-9148-e3be6c30e623}">
          <xlrd:rvb i="1493"/>
        </ext>
      </extLst>
    </bk>
    <bk>
      <extLst>
        <ext uri="{3e2802c4-a4d2-4d8b-9148-e3be6c30e623}">
          <xlrd:rvb i="1488"/>
        </ext>
      </extLst>
    </bk>
    <bk>
      <extLst>
        <ext uri="{3e2802c4-a4d2-4d8b-9148-e3be6c30e623}">
          <xlrd:rvb i="1492"/>
        </ext>
      </extLst>
    </bk>
    <bk>
      <extLst>
        <ext uri="{3e2802c4-a4d2-4d8b-9148-e3be6c30e623}">
          <xlrd:rvb i="1495"/>
        </ext>
      </extLst>
    </bk>
    <bk>
      <extLst>
        <ext uri="{3e2802c4-a4d2-4d8b-9148-e3be6c30e623}">
          <xlrd:rvb i="1505"/>
        </ext>
      </extLst>
    </bk>
    <bk>
      <extLst>
        <ext uri="{3e2802c4-a4d2-4d8b-9148-e3be6c30e623}">
          <xlrd:rvb i="1500"/>
        </ext>
      </extLst>
    </bk>
    <bk>
      <extLst>
        <ext uri="{3e2802c4-a4d2-4d8b-9148-e3be6c30e623}">
          <xlrd:rvb i="1504"/>
        </ext>
      </extLst>
    </bk>
    <bk>
      <extLst>
        <ext uri="{3e2802c4-a4d2-4d8b-9148-e3be6c30e623}">
          <xlrd:rvb i="1507"/>
        </ext>
      </extLst>
    </bk>
    <bk>
      <extLst>
        <ext uri="{3e2802c4-a4d2-4d8b-9148-e3be6c30e623}">
          <xlrd:rvb i="1516"/>
        </ext>
      </extLst>
    </bk>
    <bk>
      <extLst>
        <ext uri="{3e2802c4-a4d2-4d8b-9148-e3be6c30e623}">
          <xlrd:rvb i="1511"/>
        </ext>
      </extLst>
    </bk>
    <bk>
      <extLst>
        <ext uri="{3e2802c4-a4d2-4d8b-9148-e3be6c30e623}">
          <xlrd:rvb i="1515"/>
        </ext>
      </extLst>
    </bk>
    <bk>
      <extLst>
        <ext uri="{3e2802c4-a4d2-4d8b-9148-e3be6c30e623}">
          <xlrd:rvb i="1518"/>
        </ext>
      </extLst>
    </bk>
    <bk>
      <extLst>
        <ext uri="{3e2802c4-a4d2-4d8b-9148-e3be6c30e623}">
          <xlrd:rvb i="1527"/>
        </ext>
      </extLst>
    </bk>
    <bk>
      <extLst>
        <ext uri="{3e2802c4-a4d2-4d8b-9148-e3be6c30e623}">
          <xlrd:rvb i="1522"/>
        </ext>
      </extLst>
    </bk>
    <bk>
      <extLst>
        <ext uri="{3e2802c4-a4d2-4d8b-9148-e3be6c30e623}">
          <xlrd:rvb i="1526"/>
        </ext>
      </extLst>
    </bk>
    <bk>
      <extLst>
        <ext uri="{3e2802c4-a4d2-4d8b-9148-e3be6c30e623}">
          <xlrd:rvb i="1529"/>
        </ext>
      </extLst>
    </bk>
    <bk>
      <extLst>
        <ext uri="{3e2802c4-a4d2-4d8b-9148-e3be6c30e623}">
          <xlrd:rvb i="1538"/>
        </ext>
      </extLst>
    </bk>
    <bk>
      <extLst>
        <ext uri="{3e2802c4-a4d2-4d8b-9148-e3be6c30e623}">
          <xlrd:rvb i="1533"/>
        </ext>
      </extLst>
    </bk>
    <bk>
      <extLst>
        <ext uri="{3e2802c4-a4d2-4d8b-9148-e3be6c30e623}">
          <xlrd:rvb i="1537"/>
        </ext>
      </extLst>
    </bk>
    <bk>
      <extLst>
        <ext uri="{3e2802c4-a4d2-4d8b-9148-e3be6c30e623}">
          <xlrd:rvb i="1540"/>
        </ext>
      </extLst>
    </bk>
    <bk>
      <extLst>
        <ext uri="{3e2802c4-a4d2-4d8b-9148-e3be6c30e623}">
          <xlrd:rvb i="1549"/>
        </ext>
      </extLst>
    </bk>
    <bk>
      <extLst>
        <ext uri="{3e2802c4-a4d2-4d8b-9148-e3be6c30e623}">
          <xlrd:rvb i="1544"/>
        </ext>
      </extLst>
    </bk>
    <bk>
      <extLst>
        <ext uri="{3e2802c4-a4d2-4d8b-9148-e3be6c30e623}">
          <xlrd:rvb i="1548"/>
        </ext>
      </extLst>
    </bk>
    <bk>
      <extLst>
        <ext uri="{3e2802c4-a4d2-4d8b-9148-e3be6c30e623}">
          <xlrd:rvb i="1551"/>
        </ext>
      </extLst>
    </bk>
    <bk>
      <extLst>
        <ext uri="{3e2802c4-a4d2-4d8b-9148-e3be6c30e623}">
          <xlrd:rvb i="1560"/>
        </ext>
      </extLst>
    </bk>
    <bk>
      <extLst>
        <ext uri="{3e2802c4-a4d2-4d8b-9148-e3be6c30e623}">
          <xlrd:rvb i="1555"/>
        </ext>
      </extLst>
    </bk>
    <bk>
      <extLst>
        <ext uri="{3e2802c4-a4d2-4d8b-9148-e3be6c30e623}">
          <xlrd:rvb i="1559"/>
        </ext>
      </extLst>
    </bk>
    <bk>
      <extLst>
        <ext uri="{3e2802c4-a4d2-4d8b-9148-e3be6c30e623}">
          <xlrd:rvb i="1562"/>
        </ext>
      </extLst>
    </bk>
    <bk>
      <extLst>
        <ext uri="{3e2802c4-a4d2-4d8b-9148-e3be6c30e623}">
          <xlrd:rvb i="1571"/>
        </ext>
      </extLst>
    </bk>
    <bk>
      <extLst>
        <ext uri="{3e2802c4-a4d2-4d8b-9148-e3be6c30e623}">
          <xlrd:rvb i="1566"/>
        </ext>
      </extLst>
    </bk>
    <bk>
      <extLst>
        <ext uri="{3e2802c4-a4d2-4d8b-9148-e3be6c30e623}">
          <xlrd:rvb i="1570"/>
        </ext>
      </extLst>
    </bk>
    <bk>
      <extLst>
        <ext uri="{3e2802c4-a4d2-4d8b-9148-e3be6c30e623}">
          <xlrd:rvb i="1573"/>
        </ext>
      </extLst>
    </bk>
    <bk>
      <extLst>
        <ext uri="{3e2802c4-a4d2-4d8b-9148-e3be6c30e623}">
          <xlrd:rvb i="1582"/>
        </ext>
      </extLst>
    </bk>
    <bk>
      <extLst>
        <ext uri="{3e2802c4-a4d2-4d8b-9148-e3be6c30e623}">
          <xlrd:rvb i="1577"/>
        </ext>
      </extLst>
    </bk>
    <bk>
      <extLst>
        <ext uri="{3e2802c4-a4d2-4d8b-9148-e3be6c30e623}">
          <xlrd:rvb i="1581"/>
        </ext>
      </extLst>
    </bk>
    <bk>
      <extLst>
        <ext uri="{3e2802c4-a4d2-4d8b-9148-e3be6c30e623}">
          <xlrd:rvb i="1584"/>
        </ext>
      </extLst>
    </bk>
    <bk>
      <extLst>
        <ext uri="{3e2802c4-a4d2-4d8b-9148-e3be6c30e623}">
          <xlrd:rvb i="1593"/>
        </ext>
      </extLst>
    </bk>
    <bk>
      <extLst>
        <ext uri="{3e2802c4-a4d2-4d8b-9148-e3be6c30e623}">
          <xlrd:rvb i="1588"/>
        </ext>
      </extLst>
    </bk>
    <bk>
      <extLst>
        <ext uri="{3e2802c4-a4d2-4d8b-9148-e3be6c30e623}">
          <xlrd:rvb i="1592"/>
        </ext>
      </extLst>
    </bk>
    <bk>
      <extLst>
        <ext uri="{3e2802c4-a4d2-4d8b-9148-e3be6c30e623}">
          <xlrd:rvb i="1595"/>
        </ext>
      </extLst>
    </bk>
    <bk>
      <extLst>
        <ext uri="{3e2802c4-a4d2-4d8b-9148-e3be6c30e623}">
          <xlrd:rvb i="1603"/>
        </ext>
      </extLst>
    </bk>
    <bk>
      <extLst>
        <ext uri="{3e2802c4-a4d2-4d8b-9148-e3be6c30e623}">
          <xlrd:rvb i="1598"/>
        </ext>
      </extLst>
    </bk>
    <bk>
      <extLst>
        <ext uri="{3e2802c4-a4d2-4d8b-9148-e3be6c30e623}">
          <xlrd:rvb i="1602"/>
        </ext>
      </extLst>
    </bk>
    <bk>
      <extLst>
        <ext uri="{3e2802c4-a4d2-4d8b-9148-e3be6c30e623}">
          <xlrd:rvb i="1605"/>
        </ext>
      </extLst>
    </bk>
    <bk>
      <extLst>
        <ext uri="{3e2802c4-a4d2-4d8b-9148-e3be6c30e623}">
          <xlrd:rvb i="1614"/>
        </ext>
      </extLst>
    </bk>
    <bk>
      <extLst>
        <ext uri="{3e2802c4-a4d2-4d8b-9148-e3be6c30e623}">
          <xlrd:rvb i="1609"/>
        </ext>
      </extLst>
    </bk>
    <bk>
      <extLst>
        <ext uri="{3e2802c4-a4d2-4d8b-9148-e3be6c30e623}">
          <xlrd:rvb i="1613"/>
        </ext>
      </extLst>
    </bk>
    <bk>
      <extLst>
        <ext uri="{3e2802c4-a4d2-4d8b-9148-e3be6c30e623}">
          <xlrd:rvb i="1616"/>
        </ext>
      </extLst>
    </bk>
    <bk>
      <extLst>
        <ext uri="{3e2802c4-a4d2-4d8b-9148-e3be6c30e623}">
          <xlrd:rvb i="1626"/>
        </ext>
      </extLst>
    </bk>
    <bk>
      <extLst>
        <ext uri="{3e2802c4-a4d2-4d8b-9148-e3be6c30e623}">
          <xlrd:rvb i="1620"/>
        </ext>
      </extLst>
    </bk>
    <bk>
      <extLst>
        <ext uri="{3e2802c4-a4d2-4d8b-9148-e3be6c30e623}">
          <xlrd:rvb i="1625"/>
        </ext>
      </extLst>
    </bk>
    <bk>
      <extLst>
        <ext uri="{3e2802c4-a4d2-4d8b-9148-e3be6c30e623}">
          <xlrd:rvb i="1628"/>
        </ext>
      </extLst>
    </bk>
    <bk>
      <extLst>
        <ext uri="{3e2802c4-a4d2-4d8b-9148-e3be6c30e623}">
          <xlrd:rvb i="1636"/>
        </ext>
      </extLst>
    </bk>
    <bk>
      <extLst>
        <ext uri="{3e2802c4-a4d2-4d8b-9148-e3be6c30e623}">
          <xlrd:rvb i="1631"/>
        </ext>
      </extLst>
    </bk>
    <bk>
      <extLst>
        <ext uri="{3e2802c4-a4d2-4d8b-9148-e3be6c30e623}">
          <xlrd:rvb i="1635"/>
        </ext>
      </extLst>
    </bk>
    <bk>
      <extLst>
        <ext uri="{3e2802c4-a4d2-4d8b-9148-e3be6c30e623}">
          <xlrd:rvb i="1638"/>
        </ext>
      </extLst>
    </bk>
    <bk>
      <extLst>
        <ext uri="{3e2802c4-a4d2-4d8b-9148-e3be6c30e623}">
          <xlrd:rvb i="1647"/>
        </ext>
      </extLst>
    </bk>
    <bk>
      <extLst>
        <ext uri="{3e2802c4-a4d2-4d8b-9148-e3be6c30e623}">
          <xlrd:rvb i="1642"/>
        </ext>
      </extLst>
    </bk>
    <bk>
      <extLst>
        <ext uri="{3e2802c4-a4d2-4d8b-9148-e3be6c30e623}">
          <xlrd:rvb i="1646"/>
        </ext>
      </extLst>
    </bk>
    <bk>
      <extLst>
        <ext uri="{3e2802c4-a4d2-4d8b-9148-e3be6c30e623}">
          <xlrd:rvb i="1649"/>
        </ext>
      </extLst>
    </bk>
    <bk>
      <extLst>
        <ext uri="{3e2802c4-a4d2-4d8b-9148-e3be6c30e623}">
          <xlrd:rvb i="1658"/>
        </ext>
      </extLst>
    </bk>
    <bk>
      <extLst>
        <ext uri="{3e2802c4-a4d2-4d8b-9148-e3be6c30e623}">
          <xlrd:rvb i="1653"/>
        </ext>
      </extLst>
    </bk>
    <bk>
      <extLst>
        <ext uri="{3e2802c4-a4d2-4d8b-9148-e3be6c30e623}">
          <xlrd:rvb i="1657"/>
        </ext>
      </extLst>
    </bk>
    <bk>
      <extLst>
        <ext uri="{3e2802c4-a4d2-4d8b-9148-e3be6c30e623}">
          <xlrd:rvb i="1660"/>
        </ext>
      </extLst>
    </bk>
    <bk>
      <extLst>
        <ext uri="{3e2802c4-a4d2-4d8b-9148-e3be6c30e623}">
          <xlrd:rvb i="1668"/>
        </ext>
      </extLst>
    </bk>
    <bk>
      <extLst>
        <ext uri="{3e2802c4-a4d2-4d8b-9148-e3be6c30e623}">
          <xlrd:rvb i="1663"/>
        </ext>
      </extLst>
    </bk>
    <bk>
      <extLst>
        <ext uri="{3e2802c4-a4d2-4d8b-9148-e3be6c30e623}">
          <xlrd:rvb i="1667"/>
        </ext>
      </extLst>
    </bk>
    <bk>
      <extLst>
        <ext uri="{3e2802c4-a4d2-4d8b-9148-e3be6c30e623}">
          <xlrd:rvb i="1670"/>
        </ext>
      </extLst>
    </bk>
    <bk>
      <extLst>
        <ext uri="{3e2802c4-a4d2-4d8b-9148-e3be6c30e623}">
          <xlrd:rvb i="1679"/>
        </ext>
      </extLst>
    </bk>
    <bk>
      <extLst>
        <ext uri="{3e2802c4-a4d2-4d8b-9148-e3be6c30e623}">
          <xlrd:rvb i="1674"/>
        </ext>
      </extLst>
    </bk>
    <bk>
      <extLst>
        <ext uri="{3e2802c4-a4d2-4d8b-9148-e3be6c30e623}">
          <xlrd:rvb i="1678"/>
        </ext>
      </extLst>
    </bk>
    <bk>
      <extLst>
        <ext uri="{3e2802c4-a4d2-4d8b-9148-e3be6c30e623}">
          <xlrd:rvb i="1681"/>
        </ext>
      </extLst>
    </bk>
    <bk>
      <extLst>
        <ext uri="{3e2802c4-a4d2-4d8b-9148-e3be6c30e623}">
          <xlrd:rvb i="1690"/>
        </ext>
      </extLst>
    </bk>
    <bk>
      <extLst>
        <ext uri="{3e2802c4-a4d2-4d8b-9148-e3be6c30e623}">
          <xlrd:rvb i="1685"/>
        </ext>
      </extLst>
    </bk>
    <bk>
      <extLst>
        <ext uri="{3e2802c4-a4d2-4d8b-9148-e3be6c30e623}">
          <xlrd:rvb i="1689"/>
        </ext>
      </extLst>
    </bk>
    <bk>
      <extLst>
        <ext uri="{3e2802c4-a4d2-4d8b-9148-e3be6c30e623}">
          <xlrd:rvb i="1692"/>
        </ext>
      </extLst>
    </bk>
    <bk>
      <extLst>
        <ext uri="{3e2802c4-a4d2-4d8b-9148-e3be6c30e623}">
          <xlrd:rvb i="1701"/>
        </ext>
      </extLst>
    </bk>
    <bk>
      <extLst>
        <ext uri="{3e2802c4-a4d2-4d8b-9148-e3be6c30e623}">
          <xlrd:rvb i="1696"/>
        </ext>
      </extLst>
    </bk>
    <bk>
      <extLst>
        <ext uri="{3e2802c4-a4d2-4d8b-9148-e3be6c30e623}">
          <xlrd:rvb i="1700"/>
        </ext>
      </extLst>
    </bk>
    <bk>
      <extLst>
        <ext uri="{3e2802c4-a4d2-4d8b-9148-e3be6c30e623}">
          <xlrd:rvb i="1703"/>
        </ext>
      </extLst>
    </bk>
    <bk>
      <extLst>
        <ext uri="{3e2802c4-a4d2-4d8b-9148-e3be6c30e623}">
          <xlrd:rvb i="1711"/>
        </ext>
      </extLst>
    </bk>
    <bk>
      <extLst>
        <ext uri="{3e2802c4-a4d2-4d8b-9148-e3be6c30e623}">
          <xlrd:rvb i="1706"/>
        </ext>
      </extLst>
    </bk>
    <bk>
      <extLst>
        <ext uri="{3e2802c4-a4d2-4d8b-9148-e3be6c30e623}">
          <xlrd:rvb i="1710"/>
        </ext>
      </extLst>
    </bk>
    <bk>
      <extLst>
        <ext uri="{3e2802c4-a4d2-4d8b-9148-e3be6c30e623}">
          <xlrd:rvb i="1713"/>
        </ext>
      </extLst>
    </bk>
    <bk>
      <extLst>
        <ext uri="{3e2802c4-a4d2-4d8b-9148-e3be6c30e623}">
          <xlrd:rvb i="1721"/>
        </ext>
      </extLst>
    </bk>
    <bk>
      <extLst>
        <ext uri="{3e2802c4-a4d2-4d8b-9148-e3be6c30e623}">
          <xlrd:rvb i="1716"/>
        </ext>
      </extLst>
    </bk>
    <bk>
      <extLst>
        <ext uri="{3e2802c4-a4d2-4d8b-9148-e3be6c30e623}">
          <xlrd:rvb i="1720"/>
        </ext>
      </extLst>
    </bk>
    <bk>
      <extLst>
        <ext uri="{3e2802c4-a4d2-4d8b-9148-e3be6c30e623}">
          <xlrd:rvb i="1723"/>
        </ext>
      </extLst>
    </bk>
    <bk>
      <extLst>
        <ext uri="{3e2802c4-a4d2-4d8b-9148-e3be6c30e623}">
          <xlrd:rvb i="1732"/>
        </ext>
      </extLst>
    </bk>
    <bk>
      <extLst>
        <ext uri="{3e2802c4-a4d2-4d8b-9148-e3be6c30e623}">
          <xlrd:rvb i="1727"/>
        </ext>
      </extLst>
    </bk>
    <bk>
      <extLst>
        <ext uri="{3e2802c4-a4d2-4d8b-9148-e3be6c30e623}">
          <xlrd:rvb i="1731"/>
        </ext>
      </extLst>
    </bk>
    <bk>
      <extLst>
        <ext uri="{3e2802c4-a4d2-4d8b-9148-e3be6c30e623}">
          <xlrd:rvb i="1735"/>
        </ext>
      </extLst>
    </bk>
    <bk>
      <extLst>
        <ext uri="{3e2802c4-a4d2-4d8b-9148-e3be6c30e623}">
          <xlrd:rvb i="1743"/>
        </ext>
      </extLst>
    </bk>
    <bk>
      <extLst>
        <ext uri="{3e2802c4-a4d2-4d8b-9148-e3be6c30e623}">
          <xlrd:rvb i="1738"/>
        </ext>
      </extLst>
    </bk>
    <bk>
      <extLst>
        <ext uri="{3e2802c4-a4d2-4d8b-9148-e3be6c30e623}">
          <xlrd:rvb i="1742"/>
        </ext>
      </extLst>
    </bk>
    <bk>
      <extLst>
        <ext uri="{3e2802c4-a4d2-4d8b-9148-e3be6c30e623}">
          <xlrd:rvb i="1745"/>
        </ext>
      </extLst>
    </bk>
    <bk>
      <extLst>
        <ext uri="{3e2802c4-a4d2-4d8b-9148-e3be6c30e623}">
          <xlrd:rvb i="1754"/>
        </ext>
      </extLst>
    </bk>
    <bk>
      <extLst>
        <ext uri="{3e2802c4-a4d2-4d8b-9148-e3be6c30e623}">
          <xlrd:rvb i="1749"/>
        </ext>
      </extLst>
    </bk>
    <bk>
      <extLst>
        <ext uri="{3e2802c4-a4d2-4d8b-9148-e3be6c30e623}">
          <xlrd:rvb i="1753"/>
        </ext>
      </extLst>
    </bk>
    <bk>
      <extLst>
        <ext uri="{3e2802c4-a4d2-4d8b-9148-e3be6c30e623}">
          <xlrd:rvb i="1756"/>
        </ext>
      </extLst>
    </bk>
    <bk>
      <extLst>
        <ext uri="{3e2802c4-a4d2-4d8b-9148-e3be6c30e623}">
          <xlrd:rvb i="1765"/>
        </ext>
      </extLst>
    </bk>
    <bk>
      <extLst>
        <ext uri="{3e2802c4-a4d2-4d8b-9148-e3be6c30e623}">
          <xlrd:rvb i="1760"/>
        </ext>
      </extLst>
    </bk>
    <bk>
      <extLst>
        <ext uri="{3e2802c4-a4d2-4d8b-9148-e3be6c30e623}">
          <xlrd:rvb i="1764"/>
        </ext>
      </extLst>
    </bk>
    <bk>
      <extLst>
        <ext uri="{3e2802c4-a4d2-4d8b-9148-e3be6c30e623}">
          <xlrd:rvb i="1767"/>
        </ext>
      </extLst>
    </bk>
    <bk>
      <extLst>
        <ext uri="{3e2802c4-a4d2-4d8b-9148-e3be6c30e623}">
          <xlrd:rvb i="1775"/>
        </ext>
      </extLst>
    </bk>
    <bk>
      <extLst>
        <ext uri="{3e2802c4-a4d2-4d8b-9148-e3be6c30e623}">
          <xlrd:rvb i="1772"/>
        </ext>
      </extLst>
    </bk>
    <bk>
      <extLst>
        <ext uri="{3e2802c4-a4d2-4d8b-9148-e3be6c30e623}">
          <xlrd:rvb i="1774"/>
        </ext>
      </extLst>
    </bk>
    <bk>
      <extLst>
        <ext uri="{3e2802c4-a4d2-4d8b-9148-e3be6c30e623}">
          <xlrd:rvb i="1777"/>
        </ext>
      </extLst>
    </bk>
    <bk>
      <extLst>
        <ext uri="{3e2802c4-a4d2-4d8b-9148-e3be6c30e623}">
          <xlrd:rvb i="1783"/>
        </ext>
      </extLst>
    </bk>
    <bk>
      <extLst>
        <ext uri="{3e2802c4-a4d2-4d8b-9148-e3be6c30e623}">
          <xlrd:rvb i="1780"/>
        </ext>
      </extLst>
    </bk>
    <bk>
      <extLst>
        <ext uri="{3e2802c4-a4d2-4d8b-9148-e3be6c30e623}">
          <xlrd:rvb i="1782"/>
        </ext>
      </extLst>
    </bk>
    <bk>
      <extLst>
        <ext uri="{3e2802c4-a4d2-4d8b-9148-e3be6c30e623}">
          <xlrd:rvb i="1785"/>
        </ext>
      </extLst>
    </bk>
    <bk>
      <extLst>
        <ext uri="{3e2802c4-a4d2-4d8b-9148-e3be6c30e623}">
          <xlrd:rvb i="1793"/>
        </ext>
      </extLst>
    </bk>
    <bk>
      <extLst>
        <ext uri="{3e2802c4-a4d2-4d8b-9148-e3be6c30e623}">
          <xlrd:rvb i="1788"/>
        </ext>
      </extLst>
    </bk>
    <bk>
      <extLst>
        <ext uri="{3e2802c4-a4d2-4d8b-9148-e3be6c30e623}">
          <xlrd:rvb i="1792"/>
        </ext>
      </extLst>
    </bk>
    <bk>
      <extLst>
        <ext uri="{3e2802c4-a4d2-4d8b-9148-e3be6c30e623}">
          <xlrd:rvb i="1795"/>
        </ext>
      </extLst>
    </bk>
    <bk>
      <extLst>
        <ext uri="{3e2802c4-a4d2-4d8b-9148-e3be6c30e623}">
          <xlrd:rvb i="1803"/>
        </ext>
      </extLst>
    </bk>
    <bk>
      <extLst>
        <ext uri="{3e2802c4-a4d2-4d8b-9148-e3be6c30e623}">
          <xlrd:rvb i="1798"/>
        </ext>
      </extLst>
    </bk>
    <bk>
      <extLst>
        <ext uri="{3e2802c4-a4d2-4d8b-9148-e3be6c30e623}">
          <xlrd:rvb i="1802"/>
        </ext>
      </extLst>
    </bk>
    <bk>
      <extLst>
        <ext uri="{3e2802c4-a4d2-4d8b-9148-e3be6c30e623}">
          <xlrd:rvb i="1805"/>
        </ext>
      </extLst>
    </bk>
    <bk>
      <extLst>
        <ext uri="{3e2802c4-a4d2-4d8b-9148-e3be6c30e623}">
          <xlrd:rvb i="1814"/>
        </ext>
      </extLst>
    </bk>
    <bk>
      <extLst>
        <ext uri="{3e2802c4-a4d2-4d8b-9148-e3be6c30e623}">
          <xlrd:rvb i="1809"/>
        </ext>
      </extLst>
    </bk>
    <bk>
      <extLst>
        <ext uri="{3e2802c4-a4d2-4d8b-9148-e3be6c30e623}">
          <xlrd:rvb i="1813"/>
        </ext>
      </extLst>
    </bk>
    <bk>
      <extLst>
        <ext uri="{3e2802c4-a4d2-4d8b-9148-e3be6c30e623}">
          <xlrd:rvb i="1816"/>
        </ext>
      </extLst>
    </bk>
    <bk>
      <extLst>
        <ext uri="{3e2802c4-a4d2-4d8b-9148-e3be6c30e623}">
          <xlrd:rvb i="1825"/>
        </ext>
      </extLst>
    </bk>
    <bk>
      <extLst>
        <ext uri="{3e2802c4-a4d2-4d8b-9148-e3be6c30e623}">
          <xlrd:rvb i="1820"/>
        </ext>
      </extLst>
    </bk>
    <bk>
      <extLst>
        <ext uri="{3e2802c4-a4d2-4d8b-9148-e3be6c30e623}">
          <xlrd:rvb i="1824"/>
        </ext>
      </extLst>
    </bk>
    <bk>
      <extLst>
        <ext uri="{3e2802c4-a4d2-4d8b-9148-e3be6c30e623}">
          <xlrd:rvb i="1827"/>
        </ext>
      </extLst>
    </bk>
    <bk>
      <extLst>
        <ext uri="{3e2802c4-a4d2-4d8b-9148-e3be6c30e623}">
          <xlrd:rvb i="1834"/>
        </ext>
      </extLst>
    </bk>
    <bk>
      <extLst>
        <ext uri="{3e2802c4-a4d2-4d8b-9148-e3be6c30e623}">
          <xlrd:rvb i="1831"/>
        </ext>
      </extLst>
    </bk>
    <bk>
      <extLst>
        <ext uri="{3e2802c4-a4d2-4d8b-9148-e3be6c30e623}">
          <xlrd:rvb i="1833"/>
        </ext>
      </extLst>
    </bk>
    <bk>
      <extLst>
        <ext uri="{3e2802c4-a4d2-4d8b-9148-e3be6c30e623}">
          <xlrd:rvb i="1836"/>
        </ext>
      </extLst>
    </bk>
    <bk>
      <extLst>
        <ext uri="{3e2802c4-a4d2-4d8b-9148-e3be6c30e623}">
          <xlrd:rvb i="1845"/>
        </ext>
      </extLst>
    </bk>
    <bk>
      <extLst>
        <ext uri="{3e2802c4-a4d2-4d8b-9148-e3be6c30e623}">
          <xlrd:rvb i="1840"/>
        </ext>
      </extLst>
    </bk>
    <bk>
      <extLst>
        <ext uri="{3e2802c4-a4d2-4d8b-9148-e3be6c30e623}">
          <xlrd:rvb i="1844"/>
        </ext>
      </extLst>
    </bk>
    <bk>
      <extLst>
        <ext uri="{3e2802c4-a4d2-4d8b-9148-e3be6c30e623}">
          <xlrd:rvb i="1847"/>
        </ext>
      </extLst>
    </bk>
    <bk>
      <extLst>
        <ext uri="{3e2802c4-a4d2-4d8b-9148-e3be6c30e623}">
          <xlrd:rvb i="1856"/>
        </ext>
      </extLst>
    </bk>
    <bk>
      <extLst>
        <ext uri="{3e2802c4-a4d2-4d8b-9148-e3be6c30e623}">
          <xlrd:rvb i="1851"/>
        </ext>
      </extLst>
    </bk>
    <bk>
      <extLst>
        <ext uri="{3e2802c4-a4d2-4d8b-9148-e3be6c30e623}">
          <xlrd:rvb i="1855"/>
        </ext>
      </extLst>
    </bk>
    <bk>
      <extLst>
        <ext uri="{3e2802c4-a4d2-4d8b-9148-e3be6c30e623}">
          <xlrd:rvb i="1858"/>
        </ext>
      </extLst>
    </bk>
    <bk>
      <extLst>
        <ext uri="{3e2802c4-a4d2-4d8b-9148-e3be6c30e623}">
          <xlrd:rvb i="1867"/>
        </ext>
      </extLst>
    </bk>
    <bk>
      <extLst>
        <ext uri="{3e2802c4-a4d2-4d8b-9148-e3be6c30e623}">
          <xlrd:rvb i="1862"/>
        </ext>
      </extLst>
    </bk>
    <bk>
      <extLst>
        <ext uri="{3e2802c4-a4d2-4d8b-9148-e3be6c30e623}">
          <xlrd:rvb i="1866"/>
        </ext>
      </extLst>
    </bk>
    <bk>
      <extLst>
        <ext uri="{3e2802c4-a4d2-4d8b-9148-e3be6c30e623}">
          <xlrd:rvb i="1869"/>
        </ext>
      </extLst>
    </bk>
    <bk>
      <extLst>
        <ext uri="{3e2802c4-a4d2-4d8b-9148-e3be6c30e623}">
          <xlrd:rvb i="1875"/>
        </ext>
      </extLst>
    </bk>
    <bk>
      <extLst>
        <ext uri="{3e2802c4-a4d2-4d8b-9148-e3be6c30e623}">
          <xlrd:rvb i="1872"/>
        </ext>
      </extLst>
    </bk>
    <bk>
      <extLst>
        <ext uri="{3e2802c4-a4d2-4d8b-9148-e3be6c30e623}">
          <xlrd:rvb i="1874"/>
        </ext>
      </extLst>
    </bk>
    <bk>
      <extLst>
        <ext uri="{3e2802c4-a4d2-4d8b-9148-e3be6c30e623}">
          <xlrd:rvb i="1877"/>
        </ext>
      </extLst>
    </bk>
    <bk>
      <extLst>
        <ext uri="{3e2802c4-a4d2-4d8b-9148-e3be6c30e623}">
          <xlrd:rvb i="1885"/>
        </ext>
      </extLst>
    </bk>
    <bk>
      <extLst>
        <ext uri="{3e2802c4-a4d2-4d8b-9148-e3be6c30e623}">
          <xlrd:rvb i="1880"/>
        </ext>
      </extLst>
    </bk>
    <bk>
      <extLst>
        <ext uri="{3e2802c4-a4d2-4d8b-9148-e3be6c30e623}">
          <xlrd:rvb i="1884"/>
        </ext>
      </extLst>
    </bk>
    <bk>
      <extLst>
        <ext uri="{3e2802c4-a4d2-4d8b-9148-e3be6c30e623}">
          <xlrd:rvb i="1887"/>
        </ext>
      </extLst>
    </bk>
    <bk>
      <extLst>
        <ext uri="{3e2802c4-a4d2-4d8b-9148-e3be6c30e623}">
          <xlrd:rvb i="1895"/>
        </ext>
      </extLst>
    </bk>
    <bk>
      <extLst>
        <ext uri="{3e2802c4-a4d2-4d8b-9148-e3be6c30e623}">
          <xlrd:rvb i="1891"/>
        </ext>
      </extLst>
    </bk>
    <bk>
      <extLst>
        <ext uri="{3e2802c4-a4d2-4d8b-9148-e3be6c30e623}">
          <xlrd:rvb i="1894"/>
        </ext>
      </extLst>
    </bk>
    <bk>
      <extLst>
        <ext uri="{3e2802c4-a4d2-4d8b-9148-e3be6c30e623}">
          <xlrd:rvb i="1897"/>
        </ext>
      </extLst>
    </bk>
    <bk>
      <extLst>
        <ext uri="{3e2802c4-a4d2-4d8b-9148-e3be6c30e623}">
          <xlrd:rvb i="1904"/>
        </ext>
      </extLst>
    </bk>
    <bk>
      <extLst>
        <ext uri="{3e2802c4-a4d2-4d8b-9148-e3be6c30e623}">
          <xlrd:rvb i="1901"/>
        </ext>
      </extLst>
    </bk>
    <bk>
      <extLst>
        <ext uri="{3e2802c4-a4d2-4d8b-9148-e3be6c30e623}">
          <xlrd:rvb i="1903"/>
        </ext>
      </extLst>
    </bk>
    <bk>
      <extLst>
        <ext uri="{3e2802c4-a4d2-4d8b-9148-e3be6c30e623}">
          <xlrd:rvb i="1906"/>
        </ext>
      </extLst>
    </bk>
    <bk>
      <extLst>
        <ext uri="{3e2802c4-a4d2-4d8b-9148-e3be6c30e623}">
          <xlrd:rvb i="1915"/>
        </ext>
      </extLst>
    </bk>
    <bk>
      <extLst>
        <ext uri="{3e2802c4-a4d2-4d8b-9148-e3be6c30e623}">
          <xlrd:rvb i="1910"/>
        </ext>
      </extLst>
    </bk>
    <bk>
      <extLst>
        <ext uri="{3e2802c4-a4d2-4d8b-9148-e3be6c30e623}">
          <xlrd:rvb i="1914"/>
        </ext>
      </extLst>
    </bk>
    <bk>
      <extLst>
        <ext uri="{3e2802c4-a4d2-4d8b-9148-e3be6c30e623}">
          <xlrd:rvb i="1917"/>
        </ext>
      </extLst>
    </bk>
    <bk>
      <extLst>
        <ext uri="{3e2802c4-a4d2-4d8b-9148-e3be6c30e623}">
          <xlrd:rvb i="1925"/>
        </ext>
      </extLst>
    </bk>
    <bk>
      <extLst>
        <ext uri="{3e2802c4-a4d2-4d8b-9148-e3be6c30e623}">
          <xlrd:rvb i="1920"/>
        </ext>
      </extLst>
    </bk>
    <bk>
      <extLst>
        <ext uri="{3e2802c4-a4d2-4d8b-9148-e3be6c30e623}">
          <xlrd:rvb i="1924"/>
        </ext>
      </extLst>
    </bk>
    <bk>
      <extLst>
        <ext uri="{3e2802c4-a4d2-4d8b-9148-e3be6c30e623}">
          <xlrd:rvb i="1927"/>
        </ext>
      </extLst>
    </bk>
    <bk>
      <extLst>
        <ext uri="{3e2802c4-a4d2-4d8b-9148-e3be6c30e623}">
          <xlrd:rvb i="1933"/>
        </ext>
      </extLst>
    </bk>
    <bk>
      <extLst>
        <ext uri="{3e2802c4-a4d2-4d8b-9148-e3be6c30e623}">
          <xlrd:rvb i="1930"/>
        </ext>
      </extLst>
    </bk>
    <bk>
      <extLst>
        <ext uri="{3e2802c4-a4d2-4d8b-9148-e3be6c30e623}">
          <xlrd:rvb i="1932"/>
        </ext>
      </extLst>
    </bk>
    <bk>
      <extLst>
        <ext uri="{3e2802c4-a4d2-4d8b-9148-e3be6c30e623}">
          <xlrd:rvb i="1936"/>
        </ext>
      </extLst>
    </bk>
    <bk>
      <extLst>
        <ext uri="{3e2802c4-a4d2-4d8b-9148-e3be6c30e623}">
          <xlrd:rvb i="1942"/>
        </ext>
      </extLst>
    </bk>
    <bk>
      <extLst>
        <ext uri="{3e2802c4-a4d2-4d8b-9148-e3be6c30e623}">
          <xlrd:rvb i="1939"/>
        </ext>
      </extLst>
    </bk>
    <bk>
      <extLst>
        <ext uri="{3e2802c4-a4d2-4d8b-9148-e3be6c30e623}">
          <xlrd:rvb i="1941"/>
        </ext>
      </extLst>
    </bk>
    <bk>
      <extLst>
        <ext uri="{3e2802c4-a4d2-4d8b-9148-e3be6c30e623}">
          <xlrd:rvb i="1944"/>
        </ext>
      </extLst>
    </bk>
    <bk>
      <extLst>
        <ext uri="{3e2802c4-a4d2-4d8b-9148-e3be6c30e623}">
          <xlrd:rvb i="1953"/>
        </ext>
      </extLst>
    </bk>
    <bk>
      <extLst>
        <ext uri="{3e2802c4-a4d2-4d8b-9148-e3be6c30e623}">
          <xlrd:rvb i="1948"/>
        </ext>
      </extLst>
    </bk>
    <bk>
      <extLst>
        <ext uri="{3e2802c4-a4d2-4d8b-9148-e3be6c30e623}">
          <xlrd:rvb i="1952"/>
        </ext>
      </extLst>
    </bk>
    <bk>
      <extLst>
        <ext uri="{3e2802c4-a4d2-4d8b-9148-e3be6c30e623}">
          <xlrd:rvb i="1955"/>
        </ext>
      </extLst>
    </bk>
    <bk>
      <extLst>
        <ext uri="{3e2802c4-a4d2-4d8b-9148-e3be6c30e623}">
          <xlrd:rvb i="1963"/>
        </ext>
      </extLst>
    </bk>
    <bk>
      <extLst>
        <ext uri="{3e2802c4-a4d2-4d8b-9148-e3be6c30e623}">
          <xlrd:rvb i="1958"/>
        </ext>
      </extLst>
    </bk>
    <bk>
      <extLst>
        <ext uri="{3e2802c4-a4d2-4d8b-9148-e3be6c30e623}">
          <xlrd:rvb i="1962"/>
        </ext>
      </extLst>
    </bk>
    <bk>
      <extLst>
        <ext uri="{3e2802c4-a4d2-4d8b-9148-e3be6c30e623}">
          <xlrd:rvb i="1965"/>
        </ext>
      </extLst>
    </bk>
    <bk>
      <extLst>
        <ext uri="{3e2802c4-a4d2-4d8b-9148-e3be6c30e623}">
          <xlrd:rvb i="1975"/>
        </ext>
      </extLst>
    </bk>
    <bk>
      <extLst>
        <ext uri="{3e2802c4-a4d2-4d8b-9148-e3be6c30e623}">
          <xlrd:rvb i="1970"/>
        </ext>
      </extLst>
    </bk>
    <bk>
      <extLst>
        <ext uri="{3e2802c4-a4d2-4d8b-9148-e3be6c30e623}">
          <xlrd:rvb i="1974"/>
        </ext>
      </extLst>
    </bk>
    <bk>
      <extLst>
        <ext uri="{3e2802c4-a4d2-4d8b-9148-e3be6c30e623}">
          <xlrd:rvb i="1977"/>
        </ext>
      </extLst>
    </bk>
    <bk>
      <extLst>
        <ext uri="{3e2802c4-a4d2-4d8b-9148-e3be6c30e623}">
          <xlrd:rvb i="1986"/>
        </ext>
      </extLst>
    </bk>
    <bk>
      <extLst>
        <ext uri="{3e2802c4-a4d2-4d8b-9148-e3be6c30e623}">
          <xlrd:rvb i="1981"/>
        </ext>
      </extLst>
    </bk>
    <bk>
      <extLst>
        <ext uri="{3e2802c4-a4d2-4d8b-9148-e3be6c30e623}">
          <xlrd:rvb i="1985"/>
        </ext>
      </extLst>
    </bk>
    <bk>
      <extLst>
        <ext uri="{3e2802c4-a4d2-4d8b-9148-e3be6c30e623}">
          <xlrd:rvb i="1988"/>
        </ext>
      </extLst>
    </bk>
    <bk>
      <extLst>
        <ext uri="{3e2802c4-a4d2-4d8b-9148-e3be6c30e623}">
          <xlrd:rvb i="1997"/>
        </ext>
      </extLst>
    </bk>
    <bk>
      <extLst>
        <ext uri="{3e2802c4-a4d2-4d8b-9148-e3be6c30e623}">
          <xlrd:rvb i="1992"/>
        </ext>
      </extLst>
    </bk>
    <bk>
      <extLst>
        <ext uri="{3e2802c4-a4d2-4d8b-9148-e3be6c30e623}">
          <xlrd:rvb i="1996"/>
        </ext>
      </extLst>
    </bk>
    <bk>
      <extLst>
        <ext uri="{3e2802c4-a4d2-4d8b-9148-e3be6c30e623}">
          <xlrd:rvb i="1999"/>
        </ext>
      </extLst>
    </bk>
    <bk>
      <extLst>
        <ext uri="{3e2802c4-a4d2-4d8b-9148-e3be6c30e623}">
          <xlrd:rvb i="2008"/>
        </ext>
      </extLst>
    </bk>
    <bk>
      <extLst>
        <ext uri="{3e2802c4-a4d2-4d8b-9148-e3be6c30e623}">
          <xlrd:rvb i="2003"/>
        </ext>
      </extLst>
    </bk>
    <bk>
      <extLst>
        <ext uri="{3e2802c4-a4d2-4d8b-9148-e3be6c30e623}">
          <xlrd:rvb i="2007"/>
        </ext>
      </extLst>
    </bk>
    <bk>
      <extLst>
        <ext uri="{3e2802c4-a4d2-4d8b-9148-e3be6c30e623}">
          <xlrd:rvb i="2010"/>
        </ext>
      </extLst>
    </bk>
    <bk>
      <extLst>
        <ext uri="{3e2802c4-a4d2-4d8b-9148-e3be6c30e623}">
          <xlrd:rvb i="2019"/>
        </ext>
      </extLst>
    </bk>
    <bk>
      <extLst>
        <ext uri="{3e2802c4-a4d2-4d8b-9148-e3be6c30e623}">
          <xlrd:rvb i="2014"/>
        </ext>
      </extLst>
    </bk>
    <bk>
      <extLst>
        <ext uri="{3e2802c4-a4d2-4d8b-9148-e3be6c30e623}">
          <xlrd:rvb i="2018"/>
        </ext>
      </extLst>
    </bk>
    <bk>
      <extLst>
        <ext uri="{3e2802c4-a4d2-4d8b-9148-e3be6c30e623}">
          <xlrd:rvb i="2021"/>
        </ext>
      </extLst>
    </bk>
    <bk>
      <extLst>
        <ext uri="{3e2802c4-a4d2-4d8b-9148-e3be6c30e623}">
          <xlrd:rvb i="2028"/>
        </ext>
      </extLst>
    </bk>
    <bk>
      <extLst>
        <ext uri="{3e2802c4-a4d2-4d8b-9148-e3be6c30e623}">
          <xlrd:rvb i="2025"/>
        </ext>
      </extLst>
    </bk>
    <bk>
      <extLst>
        <ext uri="{3e2802c4-a4d2-4d8b-9148-e3be6c30e623}">
          <xlrd:rvb i="2027"/>
        </ext>
      </extLst>
    </bk>
    <bk>
      <extLst>
        <ext uri="{3e2802c4-a4d2-4d8b-9148-e3be6c30e623}">
          <xlrd:rvb i="2030"/>
        </ext>
      </extLst>
    </bk>
    <bk>
      <extLst>
        <ext uri="{3e2802c4-a4d2-4d8b-9148-e3be6c30e623}">
          <xlrd:rvb i="2039"/>
        </ext>
      </extLst>
    </bk>
    <bk>
      <extLst>
        <ext uri="{3e2802c4-a4d2-4d8b-9148-e3be6c30e623}">
          <xlrd:rvb i="2034"/>
        </ext>
      </extLst>
    </bk>
    <bk>
      <extLst>
        <ext uri="{3e2802c4-a4d2-4d8b-9148-e3be6c30e623}">
          <xlrd:rvb i="2038"/>
        </ext>
      </extLst>
    </bk>
    <bk>
      <extLst>
        <ext uri="{3e2802c4-a4d2-4d8b-9148-e3be6c30e623}">
          <xlrd:rvb i="2041"/>
        </ext>
      </extLst>
    </bk>
    <bk>
      <extLst>
        <ext uri="{3e2802c4-a4d2-4d8b-9148-e3be6c30e623}">
          <xlrd:rvb i="2050"/>
        </ext>
      </extLst>
    </bk>
    <bk>
      <extLst>
        <ext uri="{3e2802c4-a4d2-4d8b-9148-e3be6c30e623}">
          <xlrd:rvb i="2045"/>
        </ext>
      </extLst>
    </bk>
    <bk>
      <extLst>
        <ext uri="{3e2802c4-a4d2-4d8b-9148-e3be6c30e623}">
          <xlrd:rvb i="2049"/>
        </ext>
      </extLst>
    </bk>
    <bk>
      <extLst>
        <ext uri="{3e2802c4-a4d2-4d8b-9148-e3be6c30e623}">
          <xlrd:rvb i="2052"/>
        </ext>
      </extLst>
    </bk>
    <bk>
      <extLst>
        <ext uri="{3e2802c4-a4d2-4d8b-9148-e3be6c30e623}">
          <xlrd:rvb i="2060"/>
        </ext>
      </extLst>
    </bk>
    <bk>
      <extLst>
        <ext uri="{3e2802c4-a4d2-4d8b-9148-e3be6c30e623}">
          <xlrd:rvb i="2055"/>
        </ext>
      </extLst>
    </bk>
    <bk>
      <extLst>
        <ext uri="{3e2802c4-a4d2-4d8b-9148-e3be6c30e623}">
          <xlrd:rvb i="2059"/>
        </ext>
      </extLst>
    </bk>
    <bk>
      <extLst>
        <ext uri="{3e2802c4-a4d2-4d8b-9148-e3be6c30e623}">
          <xlrd:rvb i="2062"/>
        </ext>
      </extLst>
    </bk>
    <bk>
      <extLst>
        <ext uri="{3e2802c4-a4d2-4d8b-9148-e3be6c30e623}">
          <xlrd:rvb i="2071"/>
        </ext>
      </extLst>
    </bk>
    <bk>
      <extLst>
        <ext uri="{3e2802c4-a4d2-4d8b-9148-e3be6c30e623}">
          <xlrd:rvb i="2066"/>
        </ext>
      </extLst>
    </bk>
    <bk>
      <extLst>
        <ext uri="{3e2802c4-a4d2-4d8b-9148-e3be6c30e623}">
          <xlrd:rvb i="2070"/>
        </ext>
      </extLst>
    </bk>
    <bk>
      <extLst>
        <ext uri="{3e2802c4-a4d2-4d8b-9148-e3be6c30e623}">
          <xlrd:rvb i="2073"/>
        </ext>
      </extLst>
    </bk>
    <bk>
      <extLst>
        <ext uri="{3e2802c4-a4d2-4d8b-9148-e3be6c30e623}">
          <xlrd:rvb i="2081"/>
        </ext>
      </extLst>
    </bk>
    <bk>
      <extLst>
        <ext uri="{3e2802c4-a4d2-4d8b-9148-e3be6c30e623}">
          <xlrd:rvb i="2076"/>
        </ext>
      </extLst>
    </bk>
    <bk>
      <extLst>
        <ext uri="{3e2802c4-a4d2-4d8b-9148-e3be6c30e623}">
          <xlrd:rvb i="2080"/>
        </ext>
      </extLst>
    </bk>
    <bk>
      <extLst>
        <ext uri="{3e2802c4-a4d2-4d8b-9148-e3be6c30e623}">
          <xlrd:rvb i="2083"/>
        </ext>
      </extLst>
    </bk>
    <bk>
      <extLst>
        <ext uri="{3e2802c4-a4d2-4d8b-9148-e3be6c30e623}">
          <xlrd:rvb i="2089"/>
        </ext>
      </extLst>
    </bk>
    <bk>
      <extLst>
        <ext uri="{3e2802c4-a4d2-4d8b-9148-e3be6c30e623}">
          <xlrd:rvb i="2086"/>
        </ext>
      </extLst>
    </bk>
    <bk>
      <extLst>
        <ext uri="{3e2802c4-a4d2-4d8b-9148-e3be6c30e623}">
          <xlrd:rvb i="2088"/>
        </ext>
      </extLst>
    </bk>
    <bk>
      <extLst>
        <ext uri="{3e2802c4-a4d2-4d8b-9148-e3be6c30e623}">
          <xlrd:rvb i="2091"/>
        </ext>
      </extLst>
    </bk>
    <bk>
      <extLst>
        <ext uri="{3e2802c4-a4d2-4d8b-9148-e3be6c30e623}">
          <xlrd:rvb i="2099"/>
        </ext>
      </extLst>
    </bk>
    <bk>
      <extLst>
        <ext uri="{3e2802c4-a4d2-4d8b-9148-e3be6c30e623}">
          <xlrd:rvb i="2094"/>
        </ext>
      </extLst>
    </bk>
    <bk>
      <extLst>
        <ext uri="{3e2802c4-a4d2-4d8b-9148-e3be6c30e623}">
          <xlrd:rvb i="2098"/>
        </ext>
      </extLst>
    </bk>
    <bk>
      <extLst>
        <ext uri="{3e2802c4-a4d2-4d8b-9148-e3be6c30e623}">
          <xlrd:rvb i="2101"/>
        </ext>
      </extLst>
    </bk>
    <bk>
      <extLst>
        <ext uri="{3e2802c4-a4d2-4d8b-9148-e3be6c30e623}">
          <xlrd:rvb i="2110"/>
        </ext>
      </extLst>
    </bk>
    <bk>
      <extLst>
        <ext uri="{3e2802c4-a4d2-4d8b-9148-e3be6c30e623}">
          <xlrd:rvb i="2105"/>
        </ext>
      </extLst>
    </bk>
    <bk>
      <extLst>
        <ext uri="{3e2802c4-a4d2-4d8b-9148-e3be6c30e623}">
          <xlrd:rvb i="2109"/>
        </ext>
      </extLst>
    </bk>
    <bk>
      <extLst>
        <ext uri="{3e2802c4-a4d2-4d8b-9148-e3be6c30e623}">
          <xlrd:rvb i="2112"/>
        </ext>
      </extLst>
    </bk>
    <bk>
      <extLst>
        <ext uri="{3e2802c4-a4d2-4d8b-9148-e3be6c30e623}">
          <xlrd:rvb i="2120"/>
        </ext>
      </extLst>
    </bk>
    <bk>
      <extLst>
        <ext uri="{3e2802c4-a4d2-4d8b-9148-e3be6c30e623}">
          <xlrd:rvb i="2115"/>
        </ext>
      </extLst>
    </bk>
    <bk>
      <extLst>
        <ext uri="{3e2802c4-a4d2-4d8b-9148-e3be6c30e623}">
          <xlrd:rvb i="2119"/>
        </ext>
      </extLst>
    </bk>
    <bk>
      <extLst>
        <ext uri="{3e2802c4-a4d2-4d8b-9148-e3be6c30e623}">
          <xlrd:rvb i="2122"/>
        </ext>
      </extLst>
    </bk>
    <bk>
      <extLst>
        <ext uri="{3e2802c4-a4d2-4d8b-9148-e3be6c30e623}">
          <xlrd:rvb i="2131"/>
        </ext>
      </extLst>
    </bk>
    <bk>
      <extLst>
        <ext uri="{3e2802c4-a4d2-4d8b-9148-e3be6c30e623}">
          <xlrd:rvb i="2126"/>
        </ext>
      </extLst>
    </bk>
    <bk>
      <extLst>
        <ext uri="{3e2802c4-a4d2-4d8b-9148-e3be6c30e623}">
          <xlrd:rvb i="2130"/>
        </ext>
      </extLst>
    </bk>
    <bk>
      <extLst>
        <ext uri="{3e2802c4-a4d2-4d8b-9148-e3be6c30e623}">
          <xlrd:rvb i="2133"/>
        </ext>
      </extLst>
    </bk>
    <bk>
      <extLst>
        <ext uri="{3e2802c4-a4d2-4d8b-9148-e3be6c30e623}">
          <xlrd:rvb i="2140"/>
        </ext>
      </extLst>
    </bk>
    <bk>
      <extLst>
        <ext uri="{3e2802c4-a4d2-4d8b-9148-e3be6c30e623}">
          <xlrd:rvb i="2137"/>
        </ext>
      </extLst>
    </bk>
    <bk>
      <extLst>
        <ext uri="{3e2802c4-a4d2-4d8b-9148-e3be6c30e623}">
          <xlrd:rvb i="2139"/>
        </ext>
      </extLst>
    </bk>
    <bk>
      <extLst>
        <ext uri="{3e2802c4-a4d2-4d8b-9148-e3be6c30e623}">
          <xlrd:rvb i="2142"/>
        </ext>
      </extLst>
    </bk>
    <bk>
      <extLst>
        <ext uri="{3e2802c4-a4d2-4d8b-9148-e3be6c30e623}">
          <xlrd:rvb i="2151"/>
        </ext>
      </extLst>
    </bk>
    <bk>
      <extLst>
        <ext uri="{3e2802c4-a4d2-4d8b-9148-e3be6c30e623}">
          <xlrd:rvb i="2146"/>
        </ext>
      </extLst>
    </bk>
    <bk>
      <extLst>
        <ext uri="{3e2802c4-a4d2-4d8b-9148-e3be6c30e623}">
          <xlrd:rvb i="2150"/>
        </ext>
      </extLst>
    </bk>
    <bk>
      <extLst>
        <ext uri="{3e2802c4-a4d2-4d8b-9148-e3be6c30e623}">
          <xlrd:rvb i="2153"/>
        </ext>
      </extLst>
    </bk>
    <bk>
      <extLst>
        <ext uri="{3e2802c4-a4d2-4d8b-9148-e3be6c30e623}">
          <xlrd:rvb i="2162"/>
        </ext>
      </extLst>
    </bk>
    <bk>
      <extLst>
        <ext uri="{3e2802c4-a4d2-4d8b-9148-e3be6c30e623}">
          <xlrd:rvb i="2157"/>
        </ext>
      </extLst>
    </bk>
    <bk>
      <extLst>
        <ext uri="{3e2802c4-a4d2-4d8b-9148-e3be6c30e623}">
          <xlrd:rvb i="2161"/>
        </ext>
      </extLst>
    </bk>
    <bk>
      <extLst>
        <ext uri="{3e2802c4-a4d2-4d8b-9148-e3be6c30e623}">
          <xlrd:rvb i="2164"/>
        </ext>
      </extLst>
    </bk>
    <bk>
      <extLst>
        <ext uri="{3e2802c4-a4d2-4d8b-9148-e3be6c30e623}">
          <xlrd:rvb i="2173"/>
        </ext>
      </extLst>
    </bk>
    <bk>
      <extLst>
        <ext uri="{3e2802c4-a4d2-4d8b-9148-e3be6c30e623}">
          <xlrd:rvb i="2168"/>
        </ext>
      </extLst>
    </bk>
    <bk>
      <extLst>
        <ext uri="{3e2802c4-a4d2-4d8b-9148-e3be6c30e623}">
          <xlrd:rvb i="2172"/>
        </ext>
      </extLst>
    </bk>
    <bk>
      <extLst>
        <ext uri="{3e2802c4-a4d2-4d8b-9148-e3be6c30e623}">
          <xlrd:rvb i="2175"/>
        </ext>
      </extLst>
    </bk>
    <bk>
      <extLst>
        <ext uri="{3e2802c4-a4d2-4d8b-9148-e3be6c30e623}">
          <xlrd:rvb i="2184"/>
        </ext>
      </extLst>
    </bk>
    <bk>
      <extLst>
        <ext uri="{3e2802c4-a4d2-4d8b-9148-e3be6c30e623}">
          <xlrd:rvb i="2179"/>
        </ext>
      </extLst>
    </bk>
    <bk>
      <extLst>
        <ext uri="{3e2802c4-a4d2-4d8b-9148-e3be6c30e623}">
          <xlrd:rvb i="2183"/>
        </ext>
      </extLst>
    </bk>
    <bk>
      <extLst>
        <ext uri="{3e2802c4-a4d2-4d8b-9148-e3be6c30e623}">
          <xlrd:rvb i="2186"/>
        </ext>
      </extLst>
    </bk>
    <bk>
      <extLst>
        <ext uri="{3e2802c4-a4d2-4d8b-9148-e3be6c30e623}">
          <xlrd:rvb i="2194"/>
        </ext>
      </extLst>
    </bk>
    <bk>
      <extLst>
        <ext uri="{3e2802c4-a4d2-4d8b-9148-e3be6c30e623}">
          <xlrd:rvb i="2189"/>
        </ext>
      </extLst>
    </bk>
    <bk>
      <extLst>
        <ext uri="{3e2802c4-a4d2-4d8b-9148-e3be6c30e623}">
          <xlrd:rvb i="2193"/>
        </ext>
      </extLst>
    </bk>
    <bk>
      <extLst>
        <ext uri="{3e2802c4-a4d2-4d8b-9148-e3be6c30e623}">
          <xlrd:rvb i="2196"/>
        </ext>
      </extLst>
    </bk>
    <bk>
      <extLst>
        <ext uri="{3e2802c4-a4d2-4d8b-9148-e3be6c30e623}">
          <xlrd:rvb i="2204"/>
        </ext>
      </extLst>
    </bk>
    <bk>
      <extLst>
        <ext uri="{3e2802c4-a4d2-4d8b-9148-e3be6c30e623}">
          <xlrd:rvb i="2199"/>
        </ext>
      </extLst>
    </bk>
    <bk>
      <extLst>
        <ext uri="{3e2802c4-a4d2-4d8b-9148-e3be6c30e623}">
          <xlrd:rvb i="2203"/>
        </ext>
      </extLst>
    </bk>
    <bk>
      <extLst>
        <ext uri="{3e2802c4-a4d2-4d8b-9148-e3be6c30e623}">
          <xlrd:rvb i="2206"/>
        </ext>
      </extLst>
    </bk>
    <bk>
      <extLst>
        <ext uri="{3e2802c4-a4d2-4d8b-9148-e3be6c30e623}">
          <xlrd:rvb i="2214"/>
        </ext>
      </extLst>
    </bk>
    <bk>
      <extLst>
        <ext uri="{3e2802c4-a4d2-4d8b-9148-e3be6c30e623}">
          <xlrd:rvb i="2209"/>
        </ext>
      </extLst>
    </bk>
    <bk>
      <extLst>
        <ext uri="{3e2802c4-a4d2-4d8b-9148-e3be6c30e623}">
          <xlrd:rvb i="2213"/>
        </ext>
      </extLst>
    </bk>
    <bk>
      <extLst>
        <ext uri="{3e2802c4-a4d2-4d8b-9148-e3be6c30e623}">
          <xlrd:rvb i="2216"/>
        </ext>
      </extLst>
    </bk>
    <bk>
      <extLst>
        <ext uri="{3e2802c4-a4d2-4d8b-9148-e3be6c30e623}">
          <xlrd:rvb i="2225"/>
        </ext>
      </extLst>
    </bk>
    <bk>
      <extLst>
        <ext uri="{3e2802c4-a4d2-4d8b-9148-e3be6c30e623}">
          <xlrd:rvb i="2220"/>
        </ext>
      </extLst>
    </bk>
    <bk>
      <extLst>
        <ext uri="{3e2802c4-a4d2-4d8b-9148-e3be6c30e623}">
          <xlrd:rvb i="2224"/>
        </ext>
      </extLst>
    </bk>
    <bk>
      <extLst>
        <ext uri="{3e2802c4-a4d2-4d8b-9148-e3be6c30e623}">
          <xlrd:rvb i="2227"/>
        </ext>
      </extLst>
    </bk>
    <bk>
      <extLst>
        <ext uri="{3e2802c4-a4d2-4d8b-9148-e3be6c30e623}">
          <xlrd:rvb i="2235"/>
        </ext>
      </extLst>
    </bk>
    <bk>
      <extLst>
        <ext uri="{3e2802c4-a4d2-4d8b-9148-e3be6c30e623}">
          <xlrd:rvb i="2230"/>
        </ext>
      </extLst>
    </bk>
    <bk>
      <extLst>
        <ext uri="{3e2802c4-a4d2-4d8b-9148-e3be6c30e623}">
          <xlrd:rvb i="2234"/>
        </ext>
      </extLst>
    </bk>
    <bk>
      <extLst>
        <ext uri="{3e2802c4-a4d2-4d8b-9148-e3be6c30e623}">
          <xlrd:rvb i="2237"/>
        </ext>
      </extLst>
    </bk>
    <bk>
      <extLst>
        <ext uri="{3e2802c4-a4d2-4d8b-9148-e3be6c30e623}">
          <xlrd:rvb i="2246"/>
        </ext>
      </extLst>
    </bk>
    <bk>
      <extLst>
        <ext uri="{3e2802c4-a4d2-4d8b-9148-e3be6c30e623}">
          <xlrd:rvb i="2241"/>
        </ext>
      </extLst>
    </bk>
    <bk>
      <extLst>
        <ext uri="{3e2802c4-a4d2-4d8b-9148-e3be6c30e623}">
          <xlrd:rvb i="2245"/>
        </ext>
      </extLst>
    </bk>
    <bk>
      <extLst>
        <ext uri="{3e2802c4-a4d2-4d8b-9148-e3be6c30e623}">
          <xlrd:rvb i="2248"/>
        </ext>
      </extLst>
    </bk>
    <bk>
      <extLst>
        <ext uri="{3e2802c4-a4d2-4d8b-9148-e3be6c30e623}">
          <xlrd:rvb i="2257"/>
        </ext>
      </extLst>
    </bk>
    <bk>
      <extLst>
        <ext uri="{3e2802c4-a4d2-4d8b-9148-e3be6c30e623}">
          <xlrd:rvb i="2252"/>
        </ext>
      </extLst>
    </bk>
    <bk>
      <extLst>
        <ext uri="{3e2802c4-a4d2-4d8b-9148-e3be6c30e623}">
          <xlrd:rvb i="2256"/>
        </ext>
      </extLst>
    </bk>
    <bk>
      <extLst>
        <ext uri="{3e2802c4-a4d2-4d8b-9148-e3be6c30e623}">
          <xlrd:rvb i="2259"/>
        </ext>
      </extLst>
    </bk>
    <bk>
      <extLst>
        <ext uri="{3e2802c4-a4d2-4d8b-9148-e3be6c30e623}">
          <xlrd:rvb i="2267"/>
        </ext>
      </extLst>
    </bk>
    <bk>
      <extLst>
        <ext uri="{3e2802c4-a4d2-4d8b-9148-e3be6c30e623}">
          <xlrd:rvb i="2262"/>
        </ext>
      </extLst>
    </bk>
    <bk>
      <extLst>
        <ext uri="{3e2802c4-a4d2-4d8b-9148-e3be6c30e623}">
          <xlrd:rvb i="2266"/>
        </ext>
      </extLst>
    </bk>
    <bk>
      <extLst>
        <ext uri="{3e2802c4-a4d2-4d8b-9148-e3be6c30e623}">
          <xlrd:rvb i="2269"/>
        </ext>
      </extLst>
    </bk>
    <bk>
      <extLst>
        <ext uri="{3e2802c4-a4d2-4d8b-9148-e3be6c30e623}">
          <xlrd:rvb i="2278"/>
        </ext>
      </extLst>
    </bk>
    <bk>
      <extLst>
        <ext uri="{3e2802c4-a4d2-4d8b-9148-e3be6c30e623}">
          <xlrd:rvb i="2273"/>
        </ext>
      </extLst>
    </bk>
    <bk>
      <extLst>
        <ext uri="{3e2802c4-a4d2-4d8b-9148-e3be6c30e623}">
          <xlrd:rvb i="2277"/>
        </ext>
      </extLst>
    </bk>
    <bk>
      <extLst>
        <ext uri="{3e2802c4-a4d2-4d8b-9148-e3be6c30e623}">
          <xlrd:rvb i="2280"/>
        </ext>
      </extLst>
    </bk>
    <bk>
      <extLst>
        <ext uri="{3e2802c4-a4d2-4d8b-9148-e3be6c30e623}">
          <xlrd:rvb i="2288"/>
        </ext>
      </extLst>
    </bk>
    <bk>
      <extLst>
        <ext uri="{3e2802c4-a4d2-4d8b-9148-e3be6c30e623}">
          <xlrd:rvb i="2285"/>
        </ext>
      </extLst>
    </bk>
    <bk>
      <extLst>
        <ext uri="{3e2802c4-a4d2-4d8b-9148-e3be6c30e623}">
          <xlrd:rvb i="2287"/>
        </ext>
      </extLst>
    </bk>
    <bk>
      <extLst>
        <ext uri="{3e2802c4-a4d2-4d8b-9148-e3be6c30e623}">
          <xlrd:rvb i="2290"/>
        </ext>
      </extLst>
    </bk>
    <bk>
      <extLst>
        <ext uri="{3e2802c4-a4d2-4d8b-9148-e3be6c30e623}">
          <xlrd:rvb i="2299"/>
        </ext>
      </extLst>
    </bk>
    <bk>
      <extLst>
        <ext uri="{3e2802c4-a4d2-4d8b-9148-e3be6c30e623}">
          <xlrd:rvb i="2294"/>
        </ext>
      </extLst>
    </bk>
    <bk>
      <extLst>
        <ext uri="{3e2802c4-a4d2-4d8b-9148-e3be6c30e623}">
          <xlrd:rvb i="2298"/>
        </ext>
      </extLst>
    </bk>
    <bk>
      <extLst>
        <ext uri="{3e2802c4-a4d2-4d8b-9148-e3be6c30e623}">
          <xlrd:rvb i="2301"/>
        </ext>
      </extLst>
    </bk>
    <bk>
      <extLst>
        <ext uri="{3e2802c4-a4d2-4d8b-9148-e3be6c30e623}">
          <xlrd:rvb i="2308"/>
        </ext>
      </extLst>
    </bk>
    <bk>
      <extLst>
        <ext uri="{3e2802c4-a4d2-4d8b-9148-e3be6c30e623}">
          <xlrd:rvb i="2305"/>
        </ext>
      </extLst>
    </bk>
    <bk>
      <extLst>
        <ext uri="{3e2802c4-a4d2-4d8b-9148-e3be6c30e623}">
          <xlrd:rvb i="2307"/>
        </ext>
      </extLst>
    </bk>
    <bk>
      <extLst>
        <ext uri="{3e2802c4-a4d2-4d8b-9148-e3be6c30e623}">
          <xlrd:rvb i="2310"/>
        </ext>
      </extLst>
    </bk>
    <bk>
      <extLst>
        <ext uri="{3e2802c4-a4d2-4d8b-9148-e3be6c30e623}">
          <xlrd:rvb i="2318"/>
        </ext>
      </extLst>
    </bk>
    <bk>
      <extLst>
        <ext uri="{3e2802c4-a4d2-4d8b-9148-e3be6c30e623}">
          <xlrd:rvb i="2313"/>
        </ext>
      </extLst>
    </bk>
    <bk>
      <extLst>
        <ext uri="{3e2802c4-a4d2-4d8b-9148-e3be6c30e623}">
          <xlrd:rvb i="2317"/>
        </ext>
      </extLst>
    </bk>
    <bk>
      <extLst>
        <ext uri="{3e2802c4-a4d2-4d8b-9148-e3be6c30e623}">
          <xlrd:rvb i="2320"/>
        </ext>
      </extLst>
    </bk>
    <bk>
      <extLst>
        <ext uri="{3e2802c4-a4d2-4d8b-9148-e3be6c30e623}">
          <xlrd:rvb i="2327"/>
        </ext>
      </extLst>
    </bk>
    <bk>
      <extLst>
        <ext uri="{3e2802c4-a4d2-4d8b-9148-e3be6c30e623}">
          <xlrd:rvb i="2324"/>
        </ext>
      </extLst>
    </bk>
    <bk>
      <extLst>
        <ext uri="{3e2802c4-a4d2-4d8b-9148-e3be6c30e623}">
          <xlrd:rvb i="2326"/>
        </ext>
      </extLst>
    </bk>
    <bk>
      <extLst>
        <ext uri="{3e2802c4-a4d2-4d8b-9148-e3be6c30e623}">
          <xlrd:rvb i="2329"/>
        </ext>
      </extLst>
    </bk>
    <bk>
      <extLst>
        <ext uri="{3e2802c4-a4d2-4d8b-9148-e3be6c30e623}">
          <xlrd:rvb i="2338"/>
        </ext>
      </extLst>
    </bk>
    <bk>
      <extLst>
        <ext uri="{3e2802c4-a4d2-4d8b-9148-e3be6c30e623}">
          <xlrd:rvb i="2333"/>
        </ext>
      </extLst>
    </bk>
    <bk>
      <extLst>
        <ext uri="{3e2802c4-a4d2-4d8b-9148-e3be6c30e623}">
          <xlrd:rvb i="2337"/>
        </ext>
      </extLst>
    </bk>
    <bk>
      <extLst>
        <ext uri="{3e2802c4-a4d2-4d8b-9148-e3be6c30e623}">
          <xlrd:rvb i="2340"/>
        </ext>
      </extLst>
    </bk>
    <bk>
      <extLst>
        <ext uri="{3e2802c4-a4d2-4d8b-9148-e3be6c30e623}">
          <xlrd:rvb i="2349"/>
        </ext>
      </extLst>
    </bk>
    <bk>
      <extLst>
        <ext uri="{3e2802c4-a4d2-4d8b-9148-e3be6c30e623}">
          <xlrd:rvb i="2344"/>
        </ext>
      </extLst>
    </bk>
    <bk>
      <extLst>
        <ext uri="{3e2802c4-a4d2-4d8b-9148-e3be6c30e623}">
          <xlrd:rvb i="2348"/>
        </ext>
      </extLst>
    </bk>
    <bk>
      <extLst>
        <ext uri="{3e2802c4-a4d2-4d8b-9148-e3be6c30e623}">
          <xlrd:rvb i="2351"/>
        </ext>
      </extLst>
    </bk>
    <bk>
      <extLst>
        <ext uri="{3e2802c4-a4d2-4d8b-9148-e3be6c30e623}">
          <xlrd:rvb i="2360"/>
        </ext>
      </extLst>
    </bk>
    <bk>
      <extLst>
        <ext uri="{3e2802c4-a4d2-4d8b-9148-e3be6c30e623}">
          <xlrd:rvb i="2355"/>
        </ext>
      </extLst>
    </bk>
    <bk>
      <extLst>
        <ext uri="{3e2802c4-a4d2-4d8b-9148-e3be6c30e623}">
          <xlrd:rvb i="2359"/>
        </ext>
      </extLst>
    </bk>
    <bk>
      <extLst>
        <ext uri="{3e2802c4-a4d2-4d8b-9148-e3be6c30e623}">
          <xlrd:rvb i="2362"/>
        </ext>
      </extLst>
    </bk>
    <bk>
      <extLst>
        <ext uri="{3e2802c4-a4d2-4d8b-9148-e3be6c30e623}">
          <xlrd:rvb i="2370"/>
        </ext>
      </extLst>
    </bk>
    <bk>
      <extLst>
        <ext uri="{3e2802c4-a4d2-4d8b-9148-e3be6c30e623}">
          <xlrd:rvb i="2365"/>
        </ext>
      </extLst>
    </bk>
    <bk>
      <extLst>
        <ext uri="{3e2802c4-a4d2-4d8b-9148-e3be6c30e623}">
          <xlrd:rvb i="2369"/>
        </ext>
      </extLst>
    </bk>
    <bk>
      <extLst>
        <ext uri="{3e2802c4-a4d2-4d8b-9148-e3be6c30e623}">
          <xlrd:rvb i="2372"/>
        </ext>
      </extLst>
    </bk>
    <bk>
      <extLst>
        <ext uri="{3e2802c4-a4d2-4d8b-9148-e3be6c30e623}">
          <xlrd:rvb i="2381"/>
        </ext>
      </extLst>
    </bk>
    <bk>
      <extLst>
        <ext uri="{3e2802c4-a4d2-4d8b-9148-e3be6c30e623}">
          <xlrd:rvb i="2376"/>
        </ext>
      </extLst>
    </bk>
    <bk>
      <extLst>
        <ext uri="{3e2802c4-a4d2-4d8b-9148-e3be6c30e623}">
          <xlrd:rvb i="2380"/>
        </ext>
      </extLst>
    </bk>
    <bk>
      <extLst>
        <ext uri="{3e2802c4-a4d2-4d8b-9148-e3be6c30e623}">
          <xlrd:rvb i="2383"/>
        </ext>
      </extLst>
    </bk>
    <bk>
      <extLst>
        <ext uri="{3e2802c4-a4d2-4d8b-9148-e3be6c30e623}">
          <xlrd:rvb i="2392"/>
        </ext>
      </extLst>
    </bk>
    <bk>
      <extLst>
        <ext uri="{3e2802c4-a4d2-4d8b-9148-e3be6c30e623}">
          <xlrd:rvb i="2387"/>
        </ext>
      </extLst>
    </bk>
    <bk>
      <extLst>
        <ext uri="{3e2802c4-a4d2-4d8b-9148-e3be6c30e623}">
          <xlrd:rvb i="2391"/>
        </ext>
      </extLst>
    </bk>
    <bk>
      <extLst>
        <ext uri="{3e2802c4-a4d2-4d8b-9148-e3be6c30e623}">
          <xlrd:rvb i="2394"/>
        </ext>
      </extLst>
    </bk>
    <bk>
      <extLst>
        <ext uri="{3e2802c4-a4d2-4d8b-9148-e3be6c30e623}">
          <xlrd:rvb i="2402"/>
        </ext>
      </extLst>
    </bk>
    <bk>
      <extLst>
        <ext uri="{3e2802c4-a4d2-4d8b-9148-e3be6c30e623}">
          <xlrd:rvb i="2397"/>
        </ext>
      </extLst>
    </bk>
    <bk>
      <extLst>
        <ext uri="{3e2802c4-a4d2-4d8b-9148-e3be6c30e623}">
          <xlrd:rvb i="2401"/>
        </ext>
      </extLst>
    </bk>
    <bk>
      <extLst>
        <ext uri="{3e2802c4-a4d2-4d8b-9148-e3be6c30e623}">
          <xlrd:rvb i="2404"/>
        </ext>
      </extLst>
    </bk>
    <bk>
      <extLst>
        <ext uri="{3e2802c4-a4d2-4d8b-9148-e3be6c30e623}">
          <xlrd:rvb i="2413"/>
        </ext>
      </extLst>
    </bk>
    <bk>
      <extLst>
        <ext uri="{3e2802c4-a4d2-4d8b-9148-e3be6c30e623}">
          <xlrd:rvb i="2408"/>
        </ext>
      </extLst>
    </bk>
    <bk>
      <extLst>
        <ext uri="{3e2802c4-a4d2-4d8b-9148-e3be6c30e623}">
          <xlrd:rvb i="2412"/>
        </ext>
      </extLst>
    </bk>
    <bk>
      <extLst>
        <ext uri="{3e2802c4-a4d2-4d8b-9148-e3be6c30e623}">
          <xlrd:rvb i="2415"/>
        </ext>
      </extLst>
    </bk>
    <bk>
      <extLst>
        <ext uri="{3e2802c4-a4d2-4d8b-9148-e3be6c30e623}">
          <xlrd:rvb i="2421"/>
        </ext>
      </extLst>
    </bk>
    <bk>
      <extLst>
        <ext uri="{3e2802c4-a4d2-4d8b-9148-e3be6c30e623}">
          <xlrd:rvb i="2418"/>
        </ext>
      </extLst>
    </bk>
    <bk>
      <extLst>
        <ext uri="{3e2802c4-a4d2-4d8b-9148-e3be6c30e623}">
          <xlrd:rvb i="2420"/>
        </ext>
      </extLst>
    </bk>
    <bk>
      <extLst>
        <ext uri="{3e2802c4-a4d2-4d8b-9148-e3be6c30e623}">
          <xlrd:rvb i="2423"/>
        </ext>
      </extLst>
    </bk>
    <bk>
      <extLst>
        <ext uri="{3e2802c4-a4d2-4d8b-9148-e3be6c30e623}">
          <xlrd:rvb i="2429"/>
        </ext>
      </extLst>
    </bk>
    <bk>
      <extLst>
        <ext uri="{3e2802c4-a4d2-4d8b-9148-e3be6c30e623}">
          <xlrd:rvb i="2426"/>
        </ext>
      </extLst>
    </bk>
    <bk>
      <extLst>
        <ext uri="{3e2802c4-a4d2-4d8b-9148-e3be6c30e623}">
          <xlrd:rvb i="2428"/>
        </ext>
      </extLst>
    </bk>
    <bk>
      <extLst>
        <ext uri="{3e2802c4-a4d2-4d8b-9148-e3be6c30e623}">
          <xlrd:rvb i="2431"/>
        </ext>
      </extLst>
    </bk>
    <bk>
      <extLst>
        <ext uri="{3e2802c4-a4d2-4d8b-9148-e3be6c30e623}">
          <xlrd:rvb i="2441"/>
        </ext>
      </extLst>
    </bk>
    <bk>
      <extLst>
        <ext uri="{3e2802c4-a4d2-4d8b-9148-e3be6c30e623}">
          <xlrd:rvb i="2436"/>
        </ext>
      </extLst>
    </bk>
    <bk>
      <extLst>
        <ext uri="{3e2802c4-a4d2-4d8b-9148-e3be6c30e623}">
          <xlrd:rvb i="2440"/>
        </ext>
      </extLst>
    </bk>
    <bk>
      <extLst>
        <ext uri="{3e2802c4-a4d2-4d8b-9148-e3be6c30e623}">
          <xlrd:rvb i="2443"/>
        </ext>
      </extLst>
    </bk>
    <bk>
      <extLst>
        <ext uri="{3e2802c4-a4d2-4d8b-9148-e3be6c30e623}">
          <xlrd:rvb i="2451"/>
        </ext>
      </extLst>
    </bk>
    <bk>
      <extLst>
        <ext uri="{3e2802c4-a4d2-4d8b-9148-e3be6c30e623}">
          <xlrd:rvb i="2446"/>
        </ext>
      </extLst>
    </bk>
    <bk>
      <extLst>
        <ext uri="{3e2802c4-a4d2-4d8b-9148-e3be6c30e623}">
          <xlrd:rvb i="2450"/>
        </ext>
      </extLst>
    </bk>
    <bk>
      <extLst>
        <ext uri="{3e2802c4-a4d2-4d8b-9148-e3be6c30e623}">
          <xlrd:rvb i="2453"/>
        </ext>
      </extLst>
    </bk>
    <bk>
      <extLst>
        <ext uri="{3e2802c4-a4d2-4d8b-9148-e3be6c30e623}">
          <xlrd:rvb i="2461"/>
        </ext>
      </extLst>
    </bk>
    <bk>
      <extLst>
        <ext uri="{3e2802c4-a4d2-4d8b-9148-e3be6c30e623}">
          <xlrd:rvb i="2456"/>
        </ext>
      </extLst>
    </bk>
    <bk>
      <extLst>
        <ext uri="{3e2802c4-a4d2-4d8b-9148-e3be6c30e623}">
          <xlrd:rvb i="2460"/>
        </ext>
      </extLst>
    </bk>
    <bk>
      <extLst>
        <ext uri="{3e2802c4-a4d2-4d8b-9148-e3be6c30e623}">
          <xlrd:rvb i="2463"/>
        </ext>
      </extLst>
    </bk>
    <bk>
      <extLst>
        <ext uri="{3e2802c4-a4d2-4d8b-9148-e3be6c30e623}">
          <xlrd:rvb i="2473"/>
        </ext>
      </extLst>
    </bk>
    <bk>
      <extLst>
        <ext uri="{3e2802c4-a4d2-4d8b-9148-e3be6c30e623}">
          <xlrd:rvb i="2469"/>
        </ext>
      </extLst>
    </bk>
    <bk>
      <extLst>
        <ext uri="{3e2802c4-a4d2-4d8b-9148-e3be6c30e623}">
          <xlrd:rvb i="2472"/>
        </ext>
      </extLst>
    </bk>
    <bk>
      <extLst>
        <ext uri="{3e2802c4-a4d2-4d8b-9148-e3be6c30e623}">
          <xlrd:rvb i="2475"/>
        </ext>
      </extLst>
    </bk>
    <bk>
      <extLst>
        <ext uri="{3e2802c4-a4d2-4d8b-9148-e3be6c30e623}">
          <xlrd:rvb i="2479"/>
        </ext>
      </extLst>
    </bk>
    <bk>
      <extLst>
        <ext uri="{3e2802c4-a4d2-4d8b-9148-e3be6c30e623}">
          <xlrd:rvb i="2477"/>
        </ext>
      </extLst>
    </bk>
    <bk>
      <extLst>
        <ext uri="{3e2802c4-a4d2-4d8b-9148-e3be6c30e623}">
          <xlrd:rvb i="2478"/>
        </ext>
      </extLst>
    </bk>
    <bk>
      <extLst>
        <ext uri="{3e2802c4-a4d2-4d8b-9148-e3be6c30e623}">
          <xlrd:rvb i="2481"/>
        </ext>
      </extLst>
    </bk>
    <bk>
      <extLst>
        <ext uri="{3e2802c4-a4d2-4d8b-9148-e3be6c30e623}">
          <xlrd:rvb i="2488"/>
        </ext>
      </extLst>
    </bk>
    <bk>
      <extLst>
        <ext uri="{3e2802c4-a4d2-4d8b-9148-e3be6c30e623}">
          <xlrd:rvb i="2485"/>
        </ext>
      </extLst>
    </bk>
    <bk>
      <extLst>
        <ext uri="{3e2802c4-a4d2-4d8b-9148-e3be6c30e623}">
          <xlrd:rvb i="2487"/>
        </ext>
      </extLst>
    </bk>
    <bk>
      <extLst>
        <ext uri="{3e2802c4-a4d2-4d8b-9148-e3be6c30e623}">
          <xlrd:rvb i="2490"/>
        </ext>
      </extLst>
    </bk>
    <bk>
      <extLst>
        <ext uri="{3e2802c4-a4d2-4d8b-9148-e3be6c30e623}">
          <xlrd:rvb i="2496"/>
        </ext>
      </extLst>
    </bk>
    <bk>
      <extLst>
        <ext uri="{3e2802c4-a4d2-4d8b-9148-e3be6c30e623}">
          <xlrd:rvb i="2493"/>
        </ext>
      </extLst>
    </bk>
    <bk>
      <extLst>
        <ext uri="{3e2802c4-a4d2-4d8b-9148-e3be6c30e623}">
          <xlrd:rvb i="2495"/>
        </ext>
      </extLst>
    </bk>
    <bk>
      <extLst>
        <ext uri="{3e2802c4-a4d2-4d8b-9148-e3be6c30e623}">
          <xlrd:rvb i="2498"/>
        </ext>
      </extLst>
    </bk>
    <bk>
      <extLst>
        <ext uri="{3e2802c4-a4d2-4d8b-9148-e3be6c30e623}">
          <xlrd:rvb i="2503"/>
        </ext>
      </extLst>
    </bk>
    <bk>
      <extLst>
        <ext uri="{3e2802c4-a4d2-4d8b-9148-e3be6c30e623}">
          <xlrd:rvb i="2500"/>
        </ext>
      </extLst>
    </bk>
    <bk>
      <extLst>
        <ext uri="{3e2802c4-a4d2-4d8b-9148-e3be6c30e623}">
          <xlrd:rvb i="2502"/>
        </ext>
      </extLst>
    </bk>
    <bk>
      <extLst>
        <ext uri="{3e2802c4-a4d2-4d8b-9148-e3be6c30e623}">
          <xlrd:rvb i="2505"/>
        </ext>
      </extLst>
    </bk>
    <bk>
      <extLst>
        <ext uri="{3e2802c4-a4d2-4d8b-9148-e3be6c30e623}">
          <xlrd:rvb i="2511"/>
        </ext>
      </extLst>
    </bk>
    <bk>
      <extLst>
        <ext uri="{3e2802c4-a4d2-4d8b-9148-e3be6c30e623}">
          <xlrd:rvb i="2508"/>
        </ext>
      </extLst>
    </bk>
    <bk>
      <extLst>
        <ext uri="{3e2802c4-a4d2-4d8b-9148-e3be6c30e623}">
          <xlrd:rvb i="2510"/>
        </ext>
      </extLst>
    </bk>
    <bk>
      <extLst>
        <ext uri="{3e2802c4-a4d2-4d8b-9148-e3be6c30e623}">
          <xlrd:rvb i="2513"/>
        </ext>
      </extLst>
    </bk>
    <bk>
      <extLst>
        <ext uri="{3e2802c4-a4d2-4d8b-9148-e3be6c30e623}">
          <xlrd:rvb i="2522"/>
        </ext>
      </extLst>
    </bk>
    <bk>
      <extLst>
        <ext uri="{3e2802c4-a4d2-4d8b-9148-e3be6c30e623}">
          <xlrd:rvb i="2517"/>
        </ext>
      </extLst>
    </bk>
    <bk>
      <extLst>
        <ext uri="{3e2802c4-a4d2-4d8b-9148-e3be6c30e623}">
          <xlrd:rvb i="2521"/>
        </ext>
      </extLst>
    </bk>
  </futureMetadata>
  <cellMetadata count="1">
    <bk>
      <rc t="1" v="0"/>
    </bk>
  </cellMetadata>
  <valueMetadata count="988">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bk>
      <rc t="2" v="501"/>
    </bk>
    <bk>
      <rc t="2" v="502"/>
    </bk>
    <bk>
      <rc t="2" v="503"/>
    </bk>
    <bk>
      <rc t="2" v="504"/>
    </bk>
    <bk>
      <rc t="2" v="505"/>
    </bk>
    <bk>
      <rc t="2" v="506"/>
    </bk>
    <bk>
      <rc t="2" v="507"/>
    </bk>
    <bk>
      <rc t="2" v="508"/>
    </bk>
    <bk>
      <rc t="2" v="509"/>
    </bk>
    <bk>
      <rc t="2" v="510"/>
    </bk>
    <bk>
      <rc t="2" v="511"/>
    </bk>
    <bk>
      <rc t="2" v="512"/>
    </bk>
    <bk>
      <rc t="2" v="513"/>
    </bk>
    <bk>
      <rc t="2" v="514"/>
    </bk>
    <bk>
      <rc t="2" v="515"/>
    </bk>
    <bk>
      <rc t="2" v="516"/>
    </bk>
    <bk>
      <rc t="2" v="517"/>
    </bk>
    <bk>
      <rc t="2" v="518"/>
    </bk>
    <bk>
      <rc t="2" v="519"/>
    </bk>
    <bk>
      <rc t="2" v="520"/>
    </bk>
    <bk>
      <rc t="2" v="521"/>
    </bk>
    <bk>
      <rc t="2" v="522"/>
    </bk>
    <bk>
      <rc t="2" v="523"/>
    </bk>
    <bk>
      <rc t="2" v="524"/>
    </bk>
    <bk>
      <rc t="2" v="525"/>
    </bk>
    <bk>
      <rc t="2" v="526"/>
    </bk>
    <bk>
      <rc t="2" v="527"/>
    </bk>
    <bk>
      <rc t="2" v="528"/>
    </bk>
    <bk>
      <rc t="2" v="529"/>
    </bk>
    <bk>
      <rc t="2" v="530"/>
    </bk>
    <bk>
      <rc t="2" v="531"/>
    </bk>
    <bk>
      <rc t="2" v="532"/>
    </bk>
    <bk>
      <rc t="2" v="533"/>
    </bk>
    <bk>
      <rc t="2" v="534"/>
    </bk>
    <bk>
      <rc t="2" v="535"/>
    </bk>
    <bk>
      <rc t="2" v="536"/>
    </bk>
    <bk>
      <rc t="2" v="537"/>
    </bk>
    <bk>
      <rc t="2" v="538"/>
    </bk>
    <bk>
      <rc t="2" v="539"/>
    </bk>
    <bk>
      <rc t="2" v="540"/>
    </bk>
    <bk>
      <rc t="2" v="541"/>
    </bk>
    <bk>
      <rc t="2" v="542"/>
    </bk>
    <bk>
      <rc t="2" v="543"/>
    </bk>
    <bk>
      <rc t="2" v="544"/>
    </bk>
    <bk>
      <rc t="2" v="545"/>
    </bk>
    <bk>
      <rc t="2" v="546"/>
    </bk>
    <bk>
      <rc t="2" v="547"/>
    </bk>
    <bk>
      <rc t="2" v="548"/>
    </bk>
    <bk>
      <rc t="2" v="549"/>
    </bk>
    <bk>
      <rc t="2" v="550"/>
    </bk>
    <bk>
      <rc t="2" v="551"/>
    </bk>
    <bk>
      <rc t="2" v="552"/>
    </bk>
    <bk>
      <rc t="2" v="553"/>
    </bk>
    <bk>
      <rc t="2" v="554"/>
    </bk>
    <bk>
      <rc t="2" v="555"/>
    </bk>
    <bk>
      <rc t="2" v="556"/>
    </bk>
    <bk>
      <rc t="2" v="557"/>
    </bk>
    <bk>
      <rc t="2" v="558"/>
    </bk>
    <bk>
      <rc t="2" v="559"/>
    </bk>
    <bk>
      <rc t="2" v="560"/>
    </bk>
    <bk>
      <rc t="2" v="561"/>
    </bk>
    <bk>
      <rc t="2" v="562"/>
    </bk>
    <bk>
      <rc t="2" v="563"/>
    </bk>
    <bk>
      <rc t="2" v="564"/>
    </bk>
    <bk>
      <rc t="2" v="565"/>
    </bk>
    <bk>
      <rc t="2" v="566"/>
    </bk>
    <bk>
      <rc t="2" v="567"/>
    </bk>
    <bk>
      <rc t="2" v="568"/>
    </bk>
    <bk>
      <rc t="2" v="569"/>
    </bk>
    <bk>
      <rc t="2" v="570"/>
    </bk>
    <bk>
      <rc t="2" v="571"/>
    </bk>
    <bk>
      <rc t="2" v="572"/>
    </bk>
    <bk>
      <rc t="2" v="573"/>
    </bk>
    <bk>
      <rc t="2" v="574"/>
    </bk>
    <bk>
      <rc t="2" v="575"/>
    </bk>
    <bk>
      <rc t="2" v="576"/>
    </bk>
    <bk>
      <rc t="2" v="577"/>
    </bk>
    <bk>
      <rc t="2" v="578"/>
    </bk>
    <bk>
      <rc t="2" v="579"/>
    </bk>
    <bk>
      <rc t="2" v="580"/>
    </bk>
    <bk>
      <rc t="2" v="581"/>
    </bk>
    <bk>
      <rc t="2" v="582"/>
    </bk>
    <bk>
      <rc t="2" v="583"/>
    </bk>
    <bk>
      <rc t="2" v="584"/>
    </bk>
    <bk>
      <rc t="2" v="585"/>
    </bk>
    <bk>
      <rc t="2" v="586"/>
    </bk>
    <bk>
      <rc t="2" v="587"/>
    </bk>
    <bk>
      <rc t="2" v="588"/>
    </bk>
    <bk>
      <rc t="2" v="589"/>
    </bk>
    <bk>
      <rc t="2" v="590"/>
    </bk>
    <bk>
      <rc t="2" v="591"/>
    </bk>
    <bk>
      <rc t="2" v="592"/>
    </bk>
    <bk>
      <rc t="2" v="593"/>
    </bk>
    <bk>
      <rc t="2" v="594"/>
    </bk>
    <bk>
      <rc t="2" v="595"/>
    </bk>
    <bk>
      <rc t="2" v="596"/>
    </bk>
    <bk>
      <rc t="2" v="597"/>
    </bk>
    <bk>
      <rc t="2" v="598"/>
    </bk>
    <bk>
      <rc t="2" v="599"/>
    </bk>
    <bk>
      <rc t="2" v="600"/>
    </bk>
    <bk>
      <rc t="2" v="601"/>
    </bk>
    <bk>
      <rc t="2" v="602"/>
    </bk>
    <bk>
      <rc t="2" v="603"/>
    </bk>
    <bk>
      <rc t="2" v="604"/>
    </bk>
    <bk>
      <rc t="2" v="605"/>
    </bk>
    <bk>
      <rc t="2" v="606"/>
    </bk>
    <bk>
      <rc t="2" v="607"/>
    </bk>
    <bk>
      <rc t="2" v="608"/>
    </bk>
    <bk>
      <rc t="2" v="609"/>
    </bk>
    <bk>
      <rc t="2" v="610"/>
    </bk>
    <bk>
      <rc t="2" v="611"/>
    </bk>
    <bk>
      <rc t="2" v="612"/>
    </bk>
    <bk>
      <rc t="2" v="613"/>
    </bk>
    <bk>
      <rc t="2" v="614"/>
    </bk>
    <bk>
      <rc t="2" v="615"/>
    </bk>
    <bk>
      <rc t="2" v="616"/>
    </bk>
    <bk>
      <rc t="2" v="617"/>
    </bk>
    <bk>
      <rc t="2" v="618"/>
    </bk>
    <bk>
      <rc t="2" v="619"/>
    </bk>
    <bk>
      <rc t="2" v="620"/>
    </bk>
    <bk>
      <rc t="2" v="621"/>
    </bk>
    <bk>
      <rc t="2" v="622"/>
    </bk>
    <bk>
      <rc t="2" v="623"/>
    </bk>
    <bk>
      <rc t="2" v="624"/>
    </bk>
    <bk>
      <rc t="2" v="625"/>
    </bk>
    <bk>
      <rc t="2" v="626"/>
    </bk>
    <bk>
      <rc t="2" v="627"/>
    </bk>
    <bk>
      <rc t="2" v="628"/>
    </bk>
    <bk>
      <rc t="2" v="629"/>
    </bk>
    <bk>
      <rc t="2" v="630"/>
    </bk>
    <bk>
      <rc t="2" v="631"/>
    </bk>
    <bk>
      <rc t="2" v="632"/>
    </bk>
    <bk>
      <rc t="2" v="633"/>
    </bk>
    <bk>
      <rc t="2" v="634"/>
    </bk>
    <bk>
      <rc t="2" v="635"/>
    </bk>
    <bk>
      <rc t="2" v="636"/>
    </bk>
    <bk>
      <rc t="2" v="637"/>
    </bk>
    <bk>
      <rc t="2" v="638"/>
    </bk>
    <bk>
      <rc t="2" v="639"/>
    </bk>
    <bk>
      <rc t="2" v="640"/>
    </bk>
    <bk>
      <rc t="2" v="641"/>
    </bk>
    <bk>
      <rc t="2" v="642"/>
    </bk>
    <bk>
      <rc t="2" v="643"/>
    </bk>
    <bk>
      <rc t="2" v="644"/>
    </bk>
    <bk>
      <rc t="2" v="645"/>
    </bk>
    <bk>
      <rc t="2" v="646"/>
    </bk>
    <bk>
      <rc t="2" v="647"/>
    </bk>
    <bk>
      <rc t="2" v="648"/>
    </bk>
    <bk>
      <rc t="2" v="649"/>
    </bk>
    <bk>
      <rc t="2" v="650"/>
    </bk>
    <bk>
      <rc t="2" v="651"/>
    </bk>
    <bk>
      <rc t="2" v="652"/>
    </bk>
    <bk>
      <rc t="2" v="653"/>
    </bk>
    <bk>
      <rc t="2" v="654"/>
    </bk>
    <bk>
      <rc t="2" v="655"/>
    </bk>
    <bk>
      <rc t="2" v="656"/>
    </bk>
    <bk>
      <rc t="2" v="657"/>
    </bk>
    <bk>
      <rc t="2" v="658"/>
    </bk>
    <bk>
      <rc t="2" v="659"/>
    </bk>
    <bk>
      <rc t="2" v="660"/>
    </bk>
    <bk>
      <rc t="2" v="661"/>
    </bk>
    <bk>
      <rc t="2" v="662"/>
    </bk>
    <bk>
      <rc t="2" v="663"/>
    </bk>
    <bk>
      <rc t="2" v="664"/>
    </bk>
    <bk>
      <rc t="2" v="665"/>
    </bk>
    <bk>
      <rc t="2" v="666"/>
    </bk>
    <bk>
      <rc t="2" v="667"/>
    </bk>
    <bk>
      <rc t="2" v="668"/>
    </bk>
    <bk>
      <rc t="2" v="669"/>
    </bk>
    <bk>
      <rc t="2" v="670"/>
    </bk>
    <bk>
      <rc t="2" v="671"/>
    </bk>
    <bk>
      <rc t="2" v="672"/>
    </bk>
    <bk>
      <rc t="2" v="673"/>
    </bk>
    <bk>
      <rc t="2" v="674"/>
    </bk>
    <bk>
      <rc t="2" v="675"/>
    </bk>
    <bk>
      <rc t="2" v="676"/>
    </bk>
    <bk>
      <rc t="2" v="677"/>
    </bk>
    <bk>
      <rc t="2" v="678"/>
    </bk>
    <bk>
      <rc t="2" v="679"/>
    </bk>
    <bk>
      <rc t="2" v="680"/>
    </bk>
    <bk>
      <rc t="2" v="681"/>
    </bk>
    <bk>
      <rc t="2" v="682"/>
    </bk>
    <bk>
      <rc t="2" v="683"/>
    </bk>
    <bk>
      <rc t="2" v="684"/>
    </bk>
    <bk>
      <rc t="2" v="685"/>
    </bk>
    <bk>
      <rc t="2" v="686"/>
    </bk>
    <bk>
      <rc t="2" v="687"/>
    </bk>
    <bk>
      <rc t="2" v="688"/>
    </bk>
    <bk>
      <rc t="2" v="689"/>
    </bk>
    <bk>
      <rc t="2" v="690"/>
    </bk>
    <bk>
      <rc t="2" v="691"/>
    </bk>
    <bk>
      <rc t="2" v="692"/>
    </bk>
    <bk>
      <rc t="2" v="693"/>
    </bk>
    <bk>
      <rc t="2" v="694"/>
    </bk>
    <bk>
      <rc t="2" v="695"/>
    </bk>
    <bk>
      <rc t="2" v="696"/>
    </bk>
    <bk>
      <rc t="2" v="697"/>
    </bk>
    <bk>
      <rc t="2" v="698"/>
    </bk>
    <bk>
      <rc t="2" v="699"/>
    </bk>
    <bk>
      <rc t="2" v="700"/>
    </bk>
    <bk>
      <rc t="2" v="701"/>
    </bk>
    <bk>
      <rc t="2" v="702"/>
    </bk>
    <bk>
      <rc t="2" v="703"/>
    </bk>
    <bk>
      <rc t="2" v="704"/>
    </bk>
    <bk>
      <rc t="2" v="705"/>
    </bk>
    <bk>
      <rc t="2" v="706"/>
    </bk>
    <bk>
      <rc t="2" v="707"/>
    </bk>
    <bk>
      <rc t="2" v="708"/>
    </bk>
    <bk>
      <rc t="2" v="709"/>
    </bk>
    <bk>
      <rc t="2" v="710"/>
    </bk>
    <bk>
      <rc t="2" v="711"/>
    </bk>
    <bk>
      <rc t="2" v="712"/>
    </bk>
    <bk>
      <rc t="2" v="713"/>
    </bk>
    <bk>
      <rc t="2" v="714"/>
    </bk>
    <bk>
      <rc t="2" v="715"/>
    </bk>
    <bk>
      <rc t="2" v="716"/>
    </bk>
    <bk>
      <rc t="2" v="717"/>
    </bk>
    <bk>
      <rc t="2" v="718"/>
    </bk>
    <bk>
      <rc t="2" v="719"/>
    </bk>
    <bk>
      <rc t="2" v="720"/>
    </bk>
    <bk>
      <rc t="2" v="721"/>
    </bk>
    <bk>
      <rc t="2" v="722"/>
    </bk>
    <bk>
      <rc t="2" v="723"/>
    </bk>
    <bk>
      <rc t="2" v="724"/>
    </bk>
    <bk>
      <rc t="2" v="725"/>
    </bk>
    <bk>
      <rc t="2" v="726"/>
    </bk>
    <bk>
      <rc t="2" v="727"/>
    </bk>
    <bk>
      <rc t="2" v="728"/>
    </bk>
    <bk>
      <rc t="2" v="729"/>
    </bk>
    <bk>
      <rc t="2" v="730"/>
    </bk>
    <bk>
      <rc t="2" v="731"/>
    </bk>
    <bk>
      <rc t="2" v="732"/>
    </bk>
    <bk>
      <rc t="2" v="733"/>
    </bk>
    <bk>
      <rc t="2" v="734"/>
    </bk>
    <bk>
      <rc t="2" v="735"/>
    </bk>
    <bk>
      <rc t="2" v="736"/>
    </bk>
    <bk>
      <rc t="2" v="737"/>
    </bk>
    <bk>
      <rc t="2" v="738"/>
    </bk>
    <bk>
      <rc t="2" v="739"/>
    </bk>
    <bk>
      <rc t="2" v="740"/>
    </bk>
    <bk>
      <rc t="2" v="741"/>
    </bk>
    <bk>
      <rc t="2" v="742"/>
    </bk>
    <bk>
      <rc t="2" v="743"/>
    </bk>
    <bk>
      <rc t="2" v="744"/>
    </bk>
    <bk>
      <rc t="2" v="745"/>
    </bk>
    <bk>
      <rc t="2" v="746"/>
    </bk>
    <bk>
      <rc t="2" v="747"/>
    </bk>
    <bk>
      <rc t="2" v="748"/>
    </bk>
    <bk>
      <rc t="2" v="749"/>
    </bk>
    <bk>
      <rc t="2" v="750"/>
    </bk>
    <bk>
      <rc t="2" v="751"/>
    </bk>
    <bk>
      <rc t="2" v="752"/>
    </bk>
    <bk>
      <rc t="2" v="753"/>
    </bk>
    <bk>
      <rc t="2" v="754"/>
    </bk>
    <bk>
      <rc t="2" v="755"/>
    </bk>
    <bk>
      <rc t="2" v="756"/>
    </bk>
    <bk>
      <rc t="2" v="757"/>
    </bk>
    <bk>
      <rc t="2" v="758"/>
    </bk>
    <bk>
      <rc t="2" v="759"/>
    </bk>
    <bk>
      <rc t="2" v="760"/>
    </bk>
    <bk>
      <rc t="2" v="761"/>
    </bk>
    <bk>
      <rc t="2" v="762"/>
    </bk>
    <bk>
      <rc t="2" v="763"/>
    </bk>
    <bk>
      <rc t="2" v="764"/>
    </bk>
    <bk>
      <rc t="2" v="765"/>
    </bk>
    <bk>
      <rc t="2" v="766"/>
    </bk>
    <bk>
      <rc t="2" v="767"/>
    </bk>
    <bk>
      <rc t="2" v="768"/>
    </bk>
    <bk>
      <rc t="2" v="769"/>
    </bk>
    <bk>
      <rc t="2" v="770"/>
    </bk>
    <bk>
      <rc t="2" v="771"/>
    </bk>
    <bk>
      <rc t="2" v="772"/>
    </bk>
    <bk>
      <rc t="2" v="773"/>
    </bk>
    <bk>
      <rc t="2" v="774"/>
    </bk>
    <bk>
      <rc t="2" v="775"/>
    </bk>
    <bk>
      <rc t="2" v="776"/>
    </bk>
    <bk>
      <rc t="2" v="777"/>
    </bk>
    <bk>
      <rc t="2" v="778"/>
    </bk>
    <bk>
      <rc t="2" v="779"/>
    </bk>
    <bk>
      <rc t="2" v="780"/>
    </bk>
    <bk>
      <rc t="2" v="781"/>
    </bk>
    <bk>
      <rc t="2" v="782"/>
    </bk>
    <bk>
      <rc t="2" v="783"/>
    </bk>
    <bk>
      <rc t="2" v="784"/>
    </bk>
    <bk>
      <rc t="2" v="785"/>
    </bk>
    <bk>
      <rc t="2" v="786"/>
    </bk>
    <bk>
      <rc t="2" v="787"/>
    </bk>
    <bk>
      <rc t="2" v="788"/>
    </bk>
    <bk>
      <rc t="2" v="789"/>
    </bk>
    <bk>
      <rc t="2" v="790"/>
    </bk>
    <bk>
      <rc t="2" v="791"/>
    </bk>
    <bk>
      <rc t="2" v="792"/>
    </bk>
    <bk>
      <rc t="2" v="793"/>
    </bk>
    <bk>
      <rc t="2" v="794"/>
    </bk>
    <bk>
      <rc t="2" v="795"/>
    </bk>
    <bk>
      <rc t="2" v="796"/>
    </bk>
    <bk>
      <rc t="2" v="797"/>
    </bk>
    <bk>
      <rc t="2" v="798"/>
    </bk>
    <bk>
      <rc t="2" v="799"/>
    </bk>
    <bk>
      <rc t="2" v="800"/>
    </bk>
    <bk>
      <rc t="2" v="801"/>
    </bk>
    <bk>
      <rc t="2" v="802"/>
    </bk>
    <bk>
      <rc t="2" v="803"/>
    </bk>
    <bk>
      <rc t="2" v="804"/>
    </bk>
    <bk>
      <rc t="2" v="805"/>
    </bk>
    <bk>
      <rc t="2" v="806"/>
    </bk>
    <bk>
      <rc t="2" v="807"/>
    </bk>
    <bk>
      <rc t="2" v="808"/>
    </bk>
    <bk>
      <rc t="2" v="809"/>
    </bk>
    <bk>
      <rc t="2" v="810"/>
    </bk>
    <bk>
      <rc t="2" v="811"/>
    </bk>
    <bk>
      <rc t="2" v="812"/>
    </bk>
    <bk>
      <rc t="2" v="813"/>
    </bk>
    <bk>
      <rc t="2" v="814"/>
    </bk>
    <bk>
      <rc t="2" v="815"/>
    </bk>
    <bk>
      <rc t="2" v="816"/>
    </bk>
    <bk>
      <rc t="2" v="817"/>
    </bk>
    <bk>
      <rc t="2" v="818"/>
    </bk>
    <bk>
      <rc t="2" v="819"/>
    </bk>
    <bk>
      <rc t="2" v="820"/>
    </bk>
    <bk>
      <rc t="2" v="821"/>
    </bk>
    <bk>
      <rc t="2" v="822"/>
    </bk>
    <bk>
      <rc t="2" v="823"/>
    </bk>
    <bk>
      <rc t="2" v="824"/>
    </bk>
    <bk>
      <rc t="2" v="825"/>
    </bk>
    <bk>
      <rc t="2" v="826"/>
    </bk>
    <bk>
      <rc t="2" v="827"/>
    </bk>
    <bk>
      <rc t="2" v="828"/>
    </bk>
    <bk>
      <rc t="2" v="829"/>
    </bk>
    <bk>
      <rc t="2" v="830"/>
    </bk>
    <bk>
      <rc t="2" v="831"/>
    </bk>
    <bk>
      <rc t="2" v="832"/>
    </bk>
    <bk>
      <rc t="2" v="833"/>
    </bk>
    <bk>
      <rc t="2" v="834"/>
    </bk>
    <bk>
      <rc t="2" v="835"/>
    </bk>
    <bk>
      <rc t="2" v="836"/>
    </bk>
    <bk>
      <rc t="2" v="837"/>
    </bk>
    <bk>
      <rc t="2" v="838"/>
    </bk>
    <bk>
      <rc t="2" v="839"/>
    </bk>
    <bk>
      <rc t="2" v="840"/>
    </bk>
    <bk>
      <rc t="2" v="841"/>
    </bk>
    <bk>
      <rc t="2" v="842"/>
    </bk>
    <bk>
      <rc t="2" v="843"/>
    </bk>
    <bk>
      <rc t="2" v="844"/>
    </bk>
    <bk>
      <rc t="2" v="845"/>
    </bk>
    <bk>
      <rc t="2" v="846"/>
    </bk>
    <bk>
      <rc t="2" v="847"/>
    </bk>
    <bk>
      <rc t="2" v="848"/>
    </bk>
    <bk>
      <rc t="2" v="849"/>
    </bk>
    <bk>
      <rc t="2" v="850"/>
    </bk>
    <bk>
      <rc t="2" v="851"/>
    </bk>
    <bk>
      <rc t="2" v="852"/>
    </bk>
    <bk>
      <rc t="2" v="853"/>
    </bk>
    <bk>
      <rc t="2" v="854"/>
    </bk>
    <bk>
      <rc t="2" v="855"/>
    </bk>
    <bk>
      <rc t="2" v="856"/>
    </bk>
    <bk>
      <rc t="2" v="857"/>
    </bk>
    <bk>
      <rc t="2" v="858"/>
    </bk>
    <bk>
      <rc t="2" v="859"/>
    </bk>
    <bk>
      <rc t="2" v="860"/>
    </bk>
    <bk>
      <rc t="2" v="861"/>
    </bk>
    <bk>
      <rc t="2" v="862"/>
    </bk>
    <bk>
      <rc t="2" v="863"/>
    </bk>
    <bk>
      <rc t="2" v="864"/>
    </bk>
    <bk>
      <rc t="2" v="865"/>
    </bk>
    <bk>
      <rc t="2" v="866"/>
    </bk>
    <bk>
      <rc t="2" v="867"/>
    </bk>
    <bk>
      <rc t="2" v="868"/>
    </bk>
    <bk>
      <rc t="2" v="869"/>
    </bk>
    <bk>
      <rc t="2" v="870"/>
    </bk>
    <bk>
      <rc t="2" v="871"/>
    </bk>
    <bk>
      <rc t="2" v="872"/>
    </bk>
    <bk>
      <rc t="2" v="873"/>
    </bk>
    <bk>
      <rc t="2" v="874"/>
    </bk>
    <bk>
      <rc t="2" v="875"/>
    </bk>
    <bk>
      <rc t="2" v="876"/>
    </bk>
    <bk>
      <rc t="2" v="877"/>
    </bk>
    <bk>
      <rc t="2" v="878"/>
    </bk>
    <bk>
      <rc t="2" v="879"/>
    </bk>
    <bk>
      <rc t="2" v="880"/>
    </bk>
    <bk>
      <rc t="2" v="881"/>
    </bk>
    <bk>
      <rc t="2" v="882"/>
    </bk>
    <bk>
      <rc t="2" v="883"/>
    </bk>
    <bk>
      <rc t="2" v="884"/>
    </bk>
    <bk>
      <rc t="2" v="885"/>
    </bk>
    <bk>
      <rc t="2" v="886"/>
    </bk>
    <bk>
      <rc t="2" v="887"/>
    </bk>
    <bk>
      <rc t="2" v="888"/>
    </bk>
    <bk>
      <rc t="2" v="889"/>
    </bk>
    <bk>
      <rc t="2" v="890"/>
    </bk>
    <bk>
      <rc t="2" v="891"/>
    </bk>
    <bk>
      <rc t="2" v="892"/>
    </bk>
    <bk>
      <rc t="2" v="893"/>
    </bk>
    <bk>
      <rc t="2" v="894"/>
    </bk>
    <bk>
      <rc t="2" v="895"/>
    </bk>
    <bk>
      <rc t="2" v="896"/>
    </bk>
    <bk>
      <rc t="2" v="897"/>
    </bk>
    <bk>
      <rc t="2" v="898"/>
    </bk>
    <bk>
      <rc t="2" v="899"/>
    </bk>
    <bk>
      <rc t="2" v="900"/>
    </bk>
    <bk>
      <rc t="2" v="901"/>
    </bk>
    <bk>
      <rc t="2" v="902"/>
    </bk>
    <bk>
      <rc t="2" v="903"/>
    </bk>
    <bk>
      <rc t="2" v="904"/>
    </bk>
    <bk>
      <rc t="2" v="905"/>
    </bk>
    <bk>
      <rc t="2" v="906"/>
    </bk>
    <bk>
      <rc t="2" v="907"/>
    </bk>
    <bk>
      <rc t="2" v="908"/>
    </bk>
    <bk>
      <rc t="2" v="909"/>
    </bk>
    <bk>
      <rc t="2" v="910"/>
    </bk>
    <bk>
      <rc t="2" v="911"/>
    </bk>
    <bk>
      <rc t="2" v="912"/>
    </bk>
    <bk>
      <rc t="2" v="913"/>
    </bk>
    <bk>
      <rc t="2" v="914"/>
    </bk>
    <bk>
      <rc t="2" v="915"/>
    </bk>
    <bk>
      <rc t="2" v="916"/>
    </bk>
    <bk>
      <rc t="2" v="917"/>
    </bk>
    <bk>
      <rc t="2" v="918"/>
    </bk>
    <bk>
      <rc t="2" v="919"/>
    </bk>
    <bk>
      <rc t="2" v="920"/>
    </bk>
    <bk>
      <rc t="2" v="921"/>
    </bk>
    <bk>
      <rc t="2" v="922"/>
    </bk>
    <bk>
      <rc t="2" v="923"/>
    </bk>
    <bk>
      <rc t="2" v="924"/>
    </bk>
    <bk>
      <rc t="2" v="925"/>
    </bk>
    <bk>
      <rc t="2" v="926"/>
    </bk>
    <bk>
      <rc t="2" v="927"/>
    </bk>
    <bk>
      <rc t="2" v="928"/>
    </bk>
    <bk>
      <rc t="2" v="929"/>
    </bk>
    <bk>
      <rc t="2" v="930"/>
    </bk>
    <bk>
      <rc t="2" v="931"/>
    </bk>
    <bk>
      <rc t="2" v="932"/>
    </bk>
    <bk>
      <rc t="2" v="933"/>
    </bk>
    <bk>
      <rc t="2" v="934"/>
    </bk>
    <bk>
      <rc t="2" v="935"/>
    </bk>
    <bk>
      <rc t="2" v="936"/>
    </bk>
    <bk>
      <rc t="2" v="937"/>
    </bk>
    <bk>
      <rc t="2" v="938"/>
    </bk>
    <bk>
      <rc t="2" v="939"/>
    </bk>
    <bk>
      <rc t="2" v="940"/>
    </bk>
    <bk>
      <rc t="2" v="941"/>
    </bk>
    <bk>
      <rc t="2" v="942"/>
    </bk>
    <bk>
      <rc t="2" v="943"/>
    </bk>
    <bk>
      <rc t="2" v="944"/>
    </bk>
    <bk>
      <rc t="2" v="945"/>
    </bk>
    <bk>
      <rc t="2" v="946"/>
    </bk>
    <bk>
      <rc t="2" v="947"/>
    </bk>
    <bk>
      <rc t="2" v="948"/>
    </bk>
    <bk>
      <rc t="2" v="949"/>
    </bk>
    <bk>
      <rc t="2" v="950"/>
    </bk>
    <bk>
      <rc t="2" v="951"/>
    </bk>
    <bk>
      <rc t="2" v="952"/>
    </bk>
    <bk>
      <rc t="2" v="953"/>
    </bk>
    <bk>
      <rc t="2" v="954"/>
    </bk>
    <bk>
      <rc t="2" v="955"/>
    </bk>
    <bk>
      <rc t="2" v="956"/>
    </bk>
    <bk>
      <rc t="2" v="957"/>
    </bk>
    <bk>
      <rc t="2" v="958"/>
    </bk>
    <bk>
      <rc t="2" v="959"/>
    </bk>
    <bk>
      <rc t="2" v="960"/>
    </bk>
    <bk>
      <rc t="2" v="961"/>
    </bk>
    <bk>
      <rc t="2" v="962"/>
    </bk>
    <bk>
      <rc t="2" v="963"/>
    </bk>
    <bk>
      <rc t="2" v="964"/>
    </bk>
    <bk>
      <rc t="2" v="965"/>
    </bk>
    <bk>
      <rc t="2" v="966"/>
    </bk>
    <bk>
      <rc t="2" v="967"/>
    </bk>
    <bk>
      <rc t="2" v="968"/>
    </bk>
    <bk>
      <rc t="2" v="969"/>
    </bk>
    <bk>
      <rc t="2" v="970"/>
    </bk>
    <bk>
      <rc t="2" v="971"/>
    </bk>
    <bk>
      <rc t="2" v="972"/>
    </bk>
    <bk>
      <rc t="2" v="973"/>
    </bk>
    <bk>
      <rc t="2" v="974"/>
    </bk>
    <bk>
      <rc t="2" v="975"/>
    </bk>
    <bk>
      <rc t="2" v="976"/>
    </bk>
    <bk>
      <rc t="2" v="977"/>
    </bk>
    <bk>
      <rc t="2" v="978"/>
    </bk>
    <bk>
      <rc t="2" v="979"/>
    </bk>
    <bk>
      <rc t="2" v="980"/>
    </bk>
    <bk>
      <rc t="2" v="981"/>
    </bk>
    <bk>
      <rc t="2" v="982"/>
    </bk>
    <bk>
      <rc t="2" v="983"/>
    </bk>
    <bk>
      <rc t="2" v="984"/>
    </bk>
    <bk>
      <rc t="2" v="985"/>
    </bk>
    <bk>
      <rc t="2" v="986"/>
    </bk>
    <bk>
      <rc t="2" v="987"/>
    </bk>
  </valueMetadata>
</metadata>
</file>

<file path=xl/sharedStrings.xml><?xml version="1.0" encoding="utf-8"?>
<sst xmlns="http://schemas.openxmlformats.org/spreadsheetml/2006/main" count="754" uniqueCount="268">
  <si>
    <t>id</t>
  </si>
  <si>
    <t>Name</t>
  </si>
  <si>
    <t>State</t>
  </si>
  <si>
    <t>geo</t>
  </si>
  <si>
    <t>Population</t>
  </si>
  <si>
    <t>OTTD pop</t>
  </si>
  <si>
    <t>town type</t>
  </si>
  <si>
    <t>city</t>
  </si>
  <si>
    <t>Lat</t>
  </si>
  <si>
    <t>Long</t>
  </si>
  <si>
    <t>row</t>
  </si>
  <si>
    <t>column</t>
  </si>
  <si>
    <t>map</t>
  </si>
  <si>
    <t>Alturas</t>
  </si>
  <si>
    <t>California</t>
  </si>
  <si>
    <t>yes</t>
  </si>
  <si>
    <t>Anaheim</t>
  </si>
  <si>
    <t>Antioch</t>
  </si>
  <si>
    <t>Arbuckle</t>
  </si>
  <si>
    <t>Atwater</t>
  </si>
  <si>
    <t>Avalon</t>
  </si>
  <si>
    <t>Bakersfield</t>
  </si>
  <si>
    <t>Barstow (CA)</t>
  </si>
  <si>
    <t>Beaumont</t>
  </si>
  <si>
    <t>Berkeley</t>
  </si>
  <si>
    <t>Big Pine</t>
  </si>
  <si>
    <t>Bishop</t>
  </si>
  <si>
    <t>Bodega Bay</t>
  </si>
  <si>
    <t>Brawley</t>
  </si>
  <si>
    <t>Brentwood</t>
  </si>
  <si>
    <t>Bridgeport (CA)</t>
  </si>
  <si>
    <t>Carlsbad</t>
  </si>
  <si>
    <t>Chester</t>
  </si>
  <si>
    <t>Chico (CA)</t>
  </si>
  <si>
    <t>Chino</t>
  </si>
  <si>
    <t>Chowchilla</t>
  </si>
  <si>
    <t>Chula Vista</t>
  </si>
  <si>
    <t>Clearlake</t>
  </si>
  <si>
    <t>Clovis</t>
  </si>
  <si>
    <t>Concord</t>
  </si>
  <si>
    <t>Corona</t>
  </si>
  <si>
    <t>Covelo</t>
  </si>
  <si>
    <t>Crescent City</t>
  </si>
  <si>
    <t>Crescent Mills</t>
  </si>
  <si>
    <t>Davis</t>
  </si>
  <si>
    <t>Downey</t>
  </si>
  <si>
    <t>El Cajon</t>
  </si>
  <si>
    <t>El Centro</t>
  </si>
  <si>
    <t>Elk Grove</t>
  </si>
  <si>
    <t>Escondido</t>
  </si>
  <si>
    <t>Eureka</t>
  </si>
  <si>
    <t>Fairfield (CA)</t>
  </si>
  <si>
    <t>Folsom</t>
  </si>
  <si>
    <t>Fort Bragg</t>
  </si>
  <si>
    <t>Fremont</t>
  </si>
  <si>
    <t>Fresno</t>
  </si>
  <si>
    <t>Furnace Creek</t>
  </si>
  <si>
    <t>Gilroy</t>
  </si>
  <si>
    <t>Glendale (CA)</t>
  </si>
  <si>
    <t>Half Moon Bay</t>
  </si>
  <si>
    <t>Hanford</t>
  </si>
  <si>
    <t>Hayward</t>
  </si>
  <si>
    <t>Hollister</t>
  </si>
  <si>
    <t>Huntington Beach</t>
  </si>
  <si>
    <t>Independence (CA)</t>
  </si>
  <si>
    <t>Indio</t>
  </si>
  <si>
    <t>Inglewood</t>
  </si>
  <si>
    <t>Irvine</t>
  </si>
  <si>
    <t>Kettleman City</t>
  </si>
  <si>
    <t>King City (CA)</t>
  </si>
  <si>
    <t>Lakeport</t>
  </si>
  <si>
    <t>Lancaster</t>
  </si>
  <si>
    <t>Livermore</t>
  </si>
  <si>
    <t>Livingston</t>
  </si>
  <si>
    <t>Lodi</t>
  </si>
  <si>
    <t>Lone Pine</t>
  </si>
  <si>
    <t>Long Beach (CA)</t>
  </si>
  <si>
    <t>Los Angeles</t>
  </si>
  <si>
    <t>Los Banos</t>
  </si>
  <si>
    <t>Madera</t>
  </si>
  <si>
    <t>Mariposa</t>
  </si>
  <si>
    <t>Maxwell</t>
  </si>
  <si>
    <t>Mendocino</t>
  </si>
  <si>
    <t>Merced</t>
  </si>
  <si>
    <t>Modesto</t>
  </si>
  <si>
    <t>Mojave</t>
  </si>
  <si>
    <t>Mommoth Lakes</t>
  </si>
  <si>
    <t>Monterey</t>
  </si>
  <si>
    <t>Morro Bay</t>
  </si>
  <si>
    <t>Mount Shasta</t>
  </si>
  <si>
    <t>Napa</t>
  </si>
  <si>
    <t>Oakhurst</t>
  </si>
  <si>
    <t>Oakland (CA)</t>
  </si>
  <si>
    <t>Oceanside (CA)</t>
  </si>
  <si>
    <t>Ontario (CA)</t>
  </si>
  <si>
    <t>Oroville (CA)</t>
  </si>
  <si>
    <t>Oxnard</t>
  </si>
  <si>
    <t>Palm Springs</t>
  </si>
  <si>
    <t>Palmdale</t>
  </si>
  <si>
    <t>Palo Alto</t>
  </si>
  <si>
    <t>Paradise (CA)</t>
  </si>
  <si>
    <t>Pasadena</t>
  </si>
  <si>
    <t>Paso Robles</t>
  </si>
  <si>
    <t>Pismo Beach</t>
  </si>
  <si>
    <t>Placerville (CA)</t>
  </si>
  <si>
    <t>Pleasanton</t>
  </si>
  <si>
    <t>Porterville</t>
  </si>
  <si>
    <t>Red Bluff</t>
  </si>
  <si>
    <t>Redding</t>
  </si>
  <si>
    <t>Richmond</t>
  </si>
  <si>
    <t>Ridgecrest</t>
  </si>
  <si>
    <t>Riverside (CA)</t>
  </si>
  <si>
    <t>Roseville</t>
  </si>
  <si>
    <t>Sacramento</t>
  </si>
  <si>
    <t>Salinas</t>
  </si>
  <si>
    <t>San Bernardino</t>
  </si>
  <si>
    <t>San Diego</t>
  </si>
  <si>
    <t>San Francisco</t>
  </si>
  <si>
    <t>San Jose</t>
  </si>
  <si>
    <t>San Luis Obispo</t>
  </si>
  <si>
    <t>San Mateo</t>
  </si>
  <si>
    <t>San Rafael</t>
  </si>
  <si>
    <t>San Simeon</t>
  </si>
  <si>
    <t>Santa Ana</t>
  </si>
  <si>
    <t>Santa Barbara</t>
  </si>
  <si>
    <t>Santa Clarita</t>
  </si>
  <si>
    <t>Santa Cruz</t>
  </si>
  <si>
    <t>Santa Maria</t>
  </si>
  <si>
    <t>Santa Rosa</t>
  </si>
  <si>
    <t>Simi Valley</t>
  </si>
  <si>
    <t>Soledad</t>
  </si>
  <si>
    <t>Sonora</t>
  </si>
  <si>
    <t>South Lake Tahoe</t>
  </si>
  <si>
    <t>Stockton</t>
  </si>
  <si>
    <t>Sunnyvale</t>
  </si>
  <si>
    <t>Susanville</t>
  </si>
  <si>
    <t>Tehachapi</t>
  </si>
  <si>
    <t>Temecula</t>
  </si>
  <si>
    <t>Thousand Oaks</t>
  </si>
  <si>
    <t>Torrance</t>
  </si>
  <si>
    <t>Tracy</t>
  </si>
  <si>
    <t>Truckee</t>
  </si>
  <si>
    <t>Tulare</t>
  </si>
  <si>
    <t>Turlock</t>
  </si>
  <si>
    <t>Tuttletown</t>
  </si>
  <si>
    <t>Two Harbors</t>
  </si>
  <si>
    <t>Ukiah (CA)</t>
  </si>
  <si>
    <t>Vallejo</t>
  </si>
  <si>
    <t>Valley Springs</t>
  </si>
  <si>
    <t>Ventura</t>
  </si>
  <si>
    <t>Victorville</t>
  </si>
  <si>
    <t>Visalia</t>
  </si>
  <si>
    <t>Walnut Creek</t>
  </si>
  <si>
    <t>Weed</t>
  </si>
  <si>
    <t>West Covina</t>
  </si>
  <si>
    <t>Williams (CA)</t>
  </si>
  <si>
    <t>Willits</t>
  </si>
  <si>
    <t>Willows</t>
  </si>
  <si>
    <t>Woodland (CA)</t>
  </si>
  <si>
    <t>Yreka</t>
  </si>
  <si>
    <t>Yuba City</t>
  </si>
  <si>
    <t>Yucaipa</t>
  </si>
  <si>
    <t>Albany</t>
  </si>
  <si>
    <t>Oregon</t>
  </si>
  <si>
    <t>Ashland</t>
  </si>
  <si>
    <t>Astoria</t>
  </si>
  <si>
    <t>Baker City</t>
  </si>
  <si>
    <t>Bandon</t>
  </si>
  <si>
    <t>Beaverton</t>
  </si>
  <si>
    <t>Bend</t>
  </si>
  <si>
    <t>Brookings</t>
  </si>
  <si>
    <t>Burns</t>
  </si>
  <si>
    <t>Coos Bay</t>
  </si>
  <si>
    <t>Corvallis</t>
  </si>
  <si>
    <t>Eugene</t>
  </si>
  <si>
    <t>Florence</t>
  </si>
  <si>
    <t>Grants Pass</t>
  </si>
  <si>
    <t>Gresham</t>
  </si>
  <si>
    <t>Hillsboro</t>
  </si>
  <si>
    <t>Klamath Falls</t>
  </si>
  <si>
    <t>Lakeview (OR)</t>
  </si>
  <si>
    <t>Lincoln City</t>
  </si>
  <si>
    <t>Medford</t>
  </si>
  <si>
    <t>Newport (OR)</t>
  </si>
  <si>
    <t>Ontario</t>
  </si>
  <si>
    <t>Portland</t>
  </si>
  <si>
    <t>Roseburg</t>
  </si>
  <si>
    <t>Salem</t>
  </si>
  <si>
    <t>Austin</t>
  </si>
  <si>
    <t>Nevada</t>
  </si>
  <si>
    <t>Battle Mountain</t>
  </si>
  <si>
    <t>Carlin</t>
  </si>
  <si>
    <t>Carson City</t>
  </si>
  <si>
    <t>Elko</t>
  </si>
  <si>
    <t>Ely</t>
  </si>
  <si>
    <t>Eureka (NV)</t>
  </si>
  <si>
    <t>Fallon</t>
  </si>
  <si>
    <t>Fernley</t>
  </si>
  <si>
    <t>Henderson</t>
  </si>
  <si>
    <t>Lund</t>
  </si>
  <si>
    <t>North Las Vegas</t>
  </si>
  <si>
    <t>Pahrump</t>
  </si>
  <si>
    <t>Paradise</t>
  </si>
  <si>
    <t>Reno</t>
  </si>
  <si>
    <t>Sparks</t>
  </si>
  <si>
    <t>Spring Valley</t>
  </si>
  <si>
    <t>Tonopah</t>
  </si>
  <si>
    <t>Winnemucca</t>
  </si>
  <si>
    <t>Yerington</t>
  </si>
  <si>
    <t>Auburn</t>
  </si>
  <si>
    <t>Washington</t>
  </si>
  <si>
    <t>Bellevue</t>
  </si>
  <si>
    <t>Bellingham</t>
  </si>
  <si>
    <t>Castle Rock</t>
  </si>
  <si>
    <t>Colville</t>
  </si>
  <si>
    <t>Copalis Beach</t>
  </si>
  <si>
    <t>Ellensburg</t>
  </si>
  <si>
    <t>Everett</t>
  </si>
  <si>
    <t>Kennewick</t>
  </si>
  <si>
    <t>Kent</t>
  </si>
  <si>
    <t>Kettle Falls</t>
  </si>
  <si>
    <t>Kirkland</t>
  </si>
  <si>
    <t>Leavenworth</t>
  </si>
  <si>
    <t>Longview</t>
  </si>
  <si>
    <t>Moses Lake</t>
  </si>
  <si>
    <t>Neah Bay</t>
  </si>
  <si>
    <t>Newport</t>
  </si>
  <si>
    <t>Olympia</t>
  </si>
  <si>
    <t>Omak</t>
  </si>
  <si>
    <t>Pullman</t>
  </si>
  <si>
    <t>Renton</t>
  </si>
  <si>
    <t>Seattle</t>
  </si>
  <si>
    <t>Sequim</t>
  </si>
  <si>
    <t>Spokane</t>
  </si>
  <si>
    <t>Tacoma</t>
  </si>
  <si>
    <t>Vancouver</t>
  </si>
  <si>
    <t>Walla Walla</t>
  </si>
  <si>
    <t>Yakima</t>
  </si>
  <si>
    <t>Athol</t>
  </si>
  <si>
    <t>Idaho</t>
  </si>
  <si>
    <t>Boise</t>
  </si>
  <si>
    <t>Bonners Ferry</t>
  </si>
  <si>
    <t>Coeur d'Alene</t>
  </si>
  <si>
    <t>Grangeville</t>
  </si>
  <si>
    <t>Kellogg</t>
  </si>
  <si>
    <t>Lewiston</t>
  </si>
  <si>
    <t>McCall</t>
  </si>
  <si>
    <t>Meridian</t>
  </si>
  <si>
    <t>Moscow</t>
  </si>
  <si>
    <t>Nampa</t>
  </si>
  <si>
    <t>Post Falls</t>
  </si>
  <si>
    <t>Priest River</t>
  </si>
  <si>
    <t>Sandpoint</t>
  </si>
  <si>
    <t>Worley</t>
  </si>
  <si>
    <t>Duncan</t>
  </si>
  <si>
    <t>British Columbia</t>
  </si>
  <si>
    <t>Sooke</t>
  </si>
  <si>
    <t>Victoria</t>
  </si>
  <si>
    <t>Ensensada</t>
  </si>
  <si>
    <t>Baja California</t>
  </si>
  <si>
    <t>Lazaro Cardenas</t>
  </si>
  <si>
    <t>Mexicali</t>
  </si>
  <si>
    <t>Rosarito</t>
  </si>
  <si>
    <t>San Felipe</t>
  </si>
  <si>
    <t>Tecate</t>
  </si>
  <si>
    <t>Tijuana</t>
  </si>
  <si>
    <t>Wenatchee</t>
  </si>
  <si>
    <t>Edmonds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</si>
</sst>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5" x14ac:knownFonts="1">
    <font>
      <sz val="11"/>
      <color theme="1"/>
      <name val="Calibri"/>
      <family val="2"/>
      <scheme val="minor"/>
    </font>
    <font>
      <sz val="11"/>
      <color rgb="FFFF0000"/>
      <name val="Calibri"/>
      <family val="2"/>
      <scheme val="minor"/>
    </font>
    <font>
      <b/>
      <sz val="11"/>
      <color theme="1"/>
      <name val="Calibri"/>
      <family val="2"/>
      <scheme val="minor"/>
    </font>
    <font>
      <sz val="11"/>
      <color rgb="FF0070C0"/>
      <name val="Calibri"/>
      <family val="2"/>
      <scheme val="minor"/>
    </font>
    <font>
      <sz val="11"/>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11">
    <xf numFmtId="0" fontId="0" fillId="0" borderId="0" xfId="0"/>
    <xf numFmtId="0" fontId="2" fillId="0" borderId="1" xfId="0" applyFont="1" applyBorder="1" applyAlignment="1">
      <alignment horizontal="center"/>
    </xf>
    <xf numFmtId="0" fontId="0" fillId="0" borderId="0" xfId="0" applyAlignment="1">
      <alignment horizontal="center"/>
    </xf>
    <xf numFmtId="0" fontId="0" fillId="0" borderId="0" xfId="0" applyAlignment="1">
      <alignment vertical="center"/>
    </xf>
    <xf numFmtId="3" fontId="0" fillId="0" borderId="0" xfId="0" applyNumberFormat="1" applyAlignment="1">
      <alignment horizontal="center"/>
    </xf>
    <xf numFmtId="0" fontId="3" fillId="0" borderId="0" xfId="0" applyFont="1" applyAlignment="1">
      <alignment vertical="center"/>
    </xf>
    <xf numFmtId="0" fontId="4" fillId="0" borderId="0" xfId="0" applyFont="1"/>
    <xf numFmtId="0" fontId="3" fillId="0" borderId="0" xfId="0" applyFont="1"/>
    <xf numFmtId="0" fontId="1" fillId="0" borderId="0" xfId="0" applyFont="1" applyAlignment="1">
      <alignment vertical="center"/>
    </xf>
    <xf numFmtId="0" fontId="1" fillId="0" borderId="0" xfId="0" applyFont="1"/>
    <xf numFmtId="164" fontId="0" fillId="0" borderId="0" xfId="0" applyNumberFormat="1" applyAlignment="1">
      <alignment vertical="center" wrapText="1"/>
    </xf>
  </cellXfs>
  <cellStyles count="1">
    <cellStyle name="Normal" xfId="0" builtinId="0"/>
  </cellStyles>
  <dxfs count="1">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 Target="richData/rdrichvalue.xml"/><Relationship Id="rId12" Type="http://schemas.microsoft.com/office/2017/06/relationships/rdSupportingPropertyBag" Target="richData/rdsupportingpropertybag.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0/07/relationships/rdRichValueWebImage" Target="richData/rdRichValueWebImage.xml"/><Relationship Id="rId11" Type="http://schemas.microsoft.com/office/2017/06/relationships/rdSupportingPropertyBagStructure" Target="richData/rdsupportingpropertybagstructure.xml"/><Relationship Id="rId5" Type="http://schemas.openxmlformats.org/officeDocument/2006/relationships/sheetMetadata" Target="metadata.xml"/><Relationship Id="rId10" Type="http://schemas.microsoft.com/office/2017/06/relationships/richStyles" Target="richData/richStyles.xml"/><Relationship Id="rId4" Type="http://schemas.openxmlformats.org/officeDocument/2006/relationships/sharedStrings" Target="sharedStrings.xml"/><Relationship Id="rId9" Type="http://schemas.microsoft.com/office/2017/06/relationships/rdArray" Target="richData/rdarray.xml"/><Relationship Id="rId14" Type="http://schemas.openxmlformats.org/officeDocument/2006/relationships/calcChain" Target="calcChain.xml"/></Relationships>
</file>

<file path=xl/richData/_rels/rdRichValueWebImage.xml.rels><?xml version="1.0" encoding="UTF-8" standalone="yes"?>
<Relationships xmlns="http://schemas.openxmlformats.org/package/2006/relationships"><Relationship Id="rId117" Type="http://schemas.openxmlformats.org/officeDocument/2006/relationships/hyperlink" Target="https://www.bing.com/th?id=OSK.5c9f4cf36fae2ad98461f313f5b2e275&amp;qlt=95" TargetMode="External"/><Relationship Id="rId299" Type="http://schemas.openxmlformats.org/officeDocument/2006/relationships/hyperlink" Target="https://www.bing.com/th?id=OSK.4540c7ca7dbf0caa81bd7b847e153b9b&amp;qlt=95" TargetMode="External"/><Relationship Id="rId21" Type="http://schemas.openxmlformats.org/officeDocument/2006/relationships/hyperlink" Target="https://www.bing.com/th?id=OSK.bc3bdc4d7a73de5064fbbd3cd285278b&amp;qlt=95" TargetMode="External"/><Relationship Id="rId63" Type="http://schemas.openxmlformats.org/officeDocument/2006/relationships/hyperlink" Target="https://www.bing.com/th?id=OSK.bdfcb6a57c08949cf18705f0b61362b2&amp;qlt=95" TargetMode="External"/><Relationship Id="rId159" Type="http://schemas.openxmlformats.org/officeDocument/2006/relationships/hyperlink" Target="https://www.bing.com/th?id=OSK.268ff5dbd85d835f7ef78cec08309a82&amp;qlt=95" TargetMode="External"/><Relationship Id="rId324" Type="http://schemas.openxmlformats.org/officeDocument/2006/relationships/hyperlink" Target="https://www.bing.com/images/search?form=xlimg&amp;q=Eugene,%20Oregon" TargetMode="External"/><Relationship Id="rId366" Type="http://schemas.openxmlformats.org/officeDocument/2006/relationships/hyperlink" Target="https://www.bing.com/images/search?form=xlimg&amp;q=Fallon,%20Nevada" TargetMode="External"/><Relationship Id="rId170" Type="http://schemas.openxmlformats.org/officeDocument/2006/relationships/hyperlink" Target="https://www.bing.com/images/search?form=xlimg&amp;q=Ontario,%20California" TargetMode="External"/><Relationship Id="rId226" Type="http://schemas.openxmlformats.org/officeDocument/2006/relationships/hyperlink" Target="https://www.bing.com/images/search?form=xlimg&amp;q=San%20Simeon,%20California" TargetMode="External"/><Relationship Id="rId433" Type="http://schemas.openxmlformats.org/officeDocument/2006/relationships/hyperlink" Target="https://www.bing.com/th?id=OSK.a1530be146d99be1f86974b2aa5b1fce&amp;qlt=95" TargetMode="External"/><Relationship Id="rId268" Type="http://schemas.openxmlformats.org/officeDocument/2006/relationships/hyperlink" Target="https://www.bing.com/images/search?form=xlimg&amp;q=Tuttletown,%20California" TargetMode="External"/><Relationship Id="rId475" Type="http://schemas.openxmlformats.org/officeDocument/2006/relationships/hyperlink" Target="https://www.bing.com/th?id=OSK.c7b2cb5ebf24a8ba89dc9106ae289bd1&amp;qlt=95" TargetMode="External"/><Relationship Id="rId32" Type="http://schemas.openxmlformats.org/officeDocument/2006/relationships/hyperlink" Target="https://www.bing.com/images/search?form=xlimg&amp;q=Brawley,%20California" TargetMode="External"/><Relationship Id="rId74" Type="http://schemas.openxmlformats.org/officeDocument/2006/relationships/hyperlink" Target="https://www.bing.com/images/search?form=xlimg&amp;q=El%20Centro,%20California" TargetMode="External"/><Relationship Id="rId128" Type="http://schemas.openxmlformats.org/officeDocument/2006/relationships/hyperlink" Target="https://www.bing.com/images/search?form=xlimg&amp;q=Livingston,%20California" TargetMode="External"/><Relationship Id="rId335" Type="http://schemas.openxmlformats.org/officeDocument/2006/relationships/hyperlink" Target="https://www.bing.com/th?id=OSK.80f9bcb1c25b7708fc2b0be95423330c&amp;qlt=95" TargetMode="External"/><Relationship Id="rId377" Type="http://schemas.openxmlformats.org/officeDocument/2006/relationships/hyperlink" Target="https://www.bing.com/th?id=OSK.d200a7255e1216ef039b3c4cb673807d&amp;qlt=95" TargetMode="External"/><Relationship Id="rId500" Type="http://schemas.openxmlformats.org/officeDocument/2006/relationships/hyperlink" Target="https://www.bing.com/images/search?form=xlimg&amp;q=Tijuana" TargetMode="External"/><Relationship Id="rId5" Type="http://schemas.openxmlformats.org/officeDocument/2006/relationships/hyperlink" Target="https://www.bing.com/th?id=OSK.a0df3041f27afbdac4b3cddeab326010&amp;qlt=95" TargetMode="External"/><Relationship Id="rId181" Type="http://schemas.openxmlformats.org/officeDocument/2006/relationships/hyperlink" Target="https://www.bing.com/th?id=OSK.8bfcc4c7afe0b6aea112ce383fd5c346&amp;qlt=95" TargetMode="External"/><Relationship Id="rId237" Type="http://schemas.openxmlformats.org/officeDocument/2006/relationships/hyperlink" Target="https://www.bing.com/th?id=OSK.73266761cfdfa905fddc14cb7300d2ba&amp;qlt=95" TargetMode="External"/><Relationship Id="rId402" Type="http://schemas.openxmlformats.org/officeDocument/2006/relationships/hyperlink" Target="https://www.bing.com/images/search?form=xlimg&amp;q=Copalis%20Beach,%20Washington" TargetMode="External"/><Relationship Id="rId279" Type="http://schemas.openxmlformats.org/officeDocument/2006/relationships/hyperlink" Target="https://www.bing.com/th?id=OSK.dd1f1d662b4f80701e683200b3984274&amp;qlt=95" TargetMode="External"/><Relationship Id="rId444" Type="http://schemas.openxmlformats.org/officeDocument/2006/relationships/hyperlink" Target="https://www.bing.com/images/search?form=xlimg&amp;q=Vancouver,%20Washington" TargetMode="External"/><Relationship Id="rId486" Type="http://schemas.openxmlformats.org/officeDocument/2006/relationships/hyperlink" Target="https://www.bing.com/images/search?form=xlimg&amp;q=Victoria,%20British%20Columbia" TargetMode="External"/><Relationship Id="rId43" Type="http://schemas.openxmlformats.org/officeDocument/2006/relationships/hyperlink" Target="https://www.bing.com/th?id=OSK.0cda6c2bdcf1e479ec89f11691bc1507&amp;qlt=95" TargetMode="External"/><Relationship Id="rId139" Type="http://schemas.openxmlformats.org/officeDocument/2006/relationships/hyperlink" Target="https://www.bing.com/th?id=OSK.445b3bcf34ba0b0dafca475f68d2cafe&amp;qlt=95" TargetMode="External"/><Relationship Id="rId290" Type="http://schemas.openxmlformats.org/officeDocument/2006/relationships/hyperlink" Target="https://www.bing.com/images/search?form=xlimg&amp;q=Willits,%20California" TargetMode="External"/><Relationship Id="rId304" Type="http://schemas.openxmlformats.org/officeDocument/2006/relationships/hyperlink" Target="https://www.bing.com/images/search?form=xlimg&amp;q=Ashland,%20Oregon" TargetMode="External"/><Relationship Id="rId346" Type="http://schemas.openxmlformats.org/officeDocument/2006/relationships/hyperlink" Target="https://www.bing.com/images/search?form=xlimg&amp;q=Portland,%20Oregon" TargetMode="External"/><Relationship Id="rId388" Type="http://schemas.openxmlformats.org/officeDocument/2006/relationships/hyperlink" Target="https://www.bing.com/images/search?form=xlimg&amp;q=Winnemucca,%20Nevada" TargetMode="External"/><Relationship Id="rId85" Type="http://schemas.openxmlformats.org/officeDocument/2006/relationships/hyperlink" Target="https://www.bing.com/th?id=OSK.5149051b4156f93b4e7515332fce6b06&amp;qlt=95" TargetMode="External"/><Relationship Id="rId150" Type="http://schemas.openxmlformats.org/officeDocument/2006/relationships/hyperlink" Target="https://www.bing.com/images/search?form=xlimg&amp;q=Modesto,%20California" TargetMode="External"/><Relationship Id="rId192" Type="http://schemas.openxmlformats.org/officeDocument/2006/relationships/hyperlink" Target="https://www.bing.com/images/search?form=xlimg&amp;q=Pleasanton,%20California" TargetMode="External"/><Relationship Id="rId206" Type="http://schemas.openxmlformats.org/officeDocument/2006/relationships/hyperlink" Target="https://www.bing.com/images/search?form=xlimg&amp;q=Roseville,%20California" TargetMode="External"/><Relationship Id="rId413" Type="http://schemas.openxmlformats.org/officeDocument/2006/relationships/hyperlink" Target="https://www.bing.com/th?id=OSK.3f7e77e60424f00de3d4eb73937b7c40&amp;qlt=95" TargetMode="External"/><Relationship Id="rId248" Type="http://schemas.openxmlformats.org/officeDocument/2006/relationships/hyperlink" Target="https://www.bing.com/images/search?form=xlimg&amp;q=Stockton,%20California" TargetMode="External"/><Relationship Id="rId455" Type="http://schemas.openxmlformats.org/officeDocument/2006/relationships/hyperlink" Target="https://www.bing.com/th?id=OSK.19b6d3fa8d558c362c77c61ce2f55fe3&amp;qlt=95" TargetMode="External"/><Relationship Id="rId497" Type="http://schemas.openxmlformats.org/officeDocument/2006/relationships/hyperlink" Target="https://www.bing.com/th?id=OSK.07a57635cb4abd41c537e5bea92a325d&amp;qlt=95" TargetMode="External"/><Relationship Id="rId12" Type="http://schemas.openxmlformats.org/officeDocument/2006/relationships/hyperlink" Target="https://www.bing.com/images/search?form=xlimg&amp;q=Merced%20County,%20California" TargetMode="External"/><Relationship Id="rId108" Type="http://schemas.openxmlformats.org/officeDocument/2006/relationships/hyperlink" Target="https://www.bing.com/images/search?form=xlimg&amp;q=Huntington%20Beach,%20California" TargetMode="External"/><Relationship Id="rId315" Type="http://schemas.openxmlformats.org/officeDocument/2006/relationships/hyperlink" Target="https://www.bing.com/th?id=OSK.0df324dfb13ec78319b30e3cdd27f60a&amp;qlt=95" TargetMode="External"/><Relationship Id="rId357" Type="http://schemas.openxmlformats.org/officeDocument/2006/relationships/hyperlink" Target="https://www.bing.com/th?id=OSK.79c266f38380d8c330ec2199e10440fa&amp;qlt=95" TargetMode="External"/><Relationship Id="rId54" Type="http://schemas.openxmlformats.org/officeDocument/2006/relationships/hyperlink" Target="https://www.bing.com/images/search?form=xlimg&amp;q=Concord,%20California" TargetMode="External"/><Relationship Id="rId96" Type="http://schemas.openxmlformats.org/officeDocument/2006/relationships/hyperlink" Target="https://www.bing.com/images/search?form=xlimg&amp;q=Glendale,%20California" TargetMode="External"/><Relationship Id="rId161" Type="http://schemas.openxmlformats.org/officeDocument/2006/relationships/hyperlink" Target="https://www.bing.com/th?id=OSK.94624c26cbdbfd9262e6959612d85b9a&amp;qlt=95" TargetMode="External"/><Relationship Id="rId217" Type="http://schemas.openxmlformats.org/officeDocument/2006/relationships/hyperlink" Target="https://www.bing.com/th?id=OSK.9fdeba9c2f6bfceed7feeba4e4883633&amp;qlt=95" TargetMode="External"/><Relationship Id="rId399" Type="http://schemas.openxmlformats.org/officeDocument/2006/relationships/hyperlink" Target="https://www.bing.com/th?id=OSK.ffc28fc0e562c73e3e3ae6f98dc77a6b&amp;qlt=95" TargetMode="External"/><Relationship Id="rId259" Type="http://schemas.openxmlformats.org/officeDocument/2006/relationships/hyperlink" Target="https://www.bing.com/th?id=OSK.678a81bf59f4a5a7d79679cdc11fd9e2&amp;qlt=95" TargetMode="External"/><Relationship Id="rId424" Type="http://schemas.openxmlformats.org/officeDocument/2006/relationships/hyperlink" Target="https://www.bing.com/images/search?form=xlimg&amp;q=Neah%20Bay,%20Washington" TargetMode="External"/><Relationship Id="rId466" Type="http://schemas.openxmlformats.org/officeDocument/2006/relationships/hyperlink" Target="https://www.bing.com/images/search?form=xlimg&amp;q=McCall,%20Idaho" TargetMode="External"/><Relationship Id="rId23" Type="http://schemas.openxmlformats.org/officeDocument/2006/relationships/hyperlink" Target="https://www.bing.com/th?id=OSK.5f8c0f2f69a28d5f64e06f92a7645e00&amp;qlt=95" TargetMode="External"/><Relationship Id="rId119" Type="http://schemas.openxmlformats.org/officeDocument/2006/relationships/hyperlink" Target="https://www.bing.com/th?id=OSK.e98fcd241a28f3e564b243dfa07da8f5&amp;qlt=95" TargetMode="External"/><Relationship Id="rId270" Type="http://schemas.openxmlformats.org/officeDocument/2006/relationships/hyperlink" Target="https://www.bing.com/images/search?form=xlimg&amp;q=Two%20Harbors,%20California" TargetMode="External"/><Relationship Id="rId326" Type="http://schemas.openxmlformats.org/officeDocument/2006/relationships/hyperlink" Target="https://www.bing.com/images/search?form=xlimg&amp;q=Florence,%20Oregon" TargetMode="External"/><Relationship Id="rId65" Type="http://schemas.openxmlformats.org/officeDocument/2006/relationships/hyperlink" Target="https://www.bing.com/th?id=OSK.44969f03b7e632a5e80462807b21cab1&amp;qlt=95" TargetMode="External"/><Relationship Id="rId130" Type="http://schemas.openxmlformats.org/officeDocument/2006/relationships/hyperlink" Target="https://www.bing.com/images/search?form=xlimg&amp;q=Lodi,%20California" TargetMode="External"/><Relationship Id="rId368" Type="http://schemas.openxmlformats.org/officeDocument/2006/relationships/hyperlink" Target="https://www.bing.com/images/search?form=xlimg&amp;q=Fernley,%20Nevada" TargetMode="External"/><Relationship Id="rId172" Type="http://schemas.openxmlformats.org/officeDocument/2006/relationships/hyperlink" Target="https://www.bing.com/images/search?form=xlimg&amp;q=Oroville,%20California" TargetMode="External"/><Relationship Id="rId228" Type="http://schemas.openxmlformats.org/officeDocument/2006/relationships/hyperlink" Target="https://www.bing.com/images/search?form=xlimg&amp;q=Santa%20Ana,%20California" TargetMode="External"/><Relationship Id="rId435" Type="http://schemas.openxmlformats.org/officeDocument/2006/relationships/hyperlink" Target="https://www.bing.com/th?id=OSK.0c11e8372a768bbf67b69ca10c18bab8&amp;qlt=95" TargetMode="External"/><Relationship Id="rId477" Type="http://schemas.openxmlformats.org/officeDocument/2006/relationships/hyperlink" Target="https://www.bing.com/th?id=OSK.wNnvS9eKu-QueybUvlA4wP0mpgNIkNdjsGXu468yeP0&amp;qlt=95" TargetMode="External"/><Relationship Id="rId281" Type="http://schemas.openxmlformats.org/officeDocument/2006/relationships/hyperlink" Target="https://www.bing.com/th?id=OSK.96b3bd818d4bb5f37fbff8688eb4e620&amp;qlt=95" TargetMode="External"/><Relationship Id="rId337" Type="http://schemas.openxmlformats.org/officeDocument/2006/relationships/hyperlink" Target="https://www.bing.com/th?id=OSK.401eea22e1c8cf14db1c4a99e704b4e4&amp;qlt=95" TargetMode="External"/><Relationship Id="rId34" Type="http://schemas.openxmlformats.org/officeDocument/2006/relationships/hyperlink" Target="https://www.bing.com/images/search?form=xlimg&amp;q=Brentwood,%20California" TargetMode="External"/><Relationship Id="rId76" Type="http://schemas.openxmlformats.org/officeDocument/2006/relationships/hyperlink" Target="https://www.bing.com/images/search?form=xlimg&amp;q=Elk%20Grove,%20California" TargetMode="External"/><Relationship Id="rId141" Type="http://schemas.openxmlformats.org/officeDocument/2006/relationships/hyperlink" Target="https://www.bing.com/th?id=OSK.8962a16bf8d6e8e8e2d4e5f4f72f88ab&amp;qlt=95" TargetMode="External"/><Relationship Id="rId379" Type="http://schemas.openxmlformats.org/officeDocument/2006/relationships/hyperlink" Target="https://www.bing.com/th?id=OSK.d8d35b9f57fb83fac755f392d1786d05&amp;qlt=95" TargetMode="External"/><Relationship Id="rId7" Type="http://schemas.openxmlformats.org/officeDocument/2006/relationships/hyperlink" Target="https://www.bing.com/th?id=OSK.855a6824cc84336a9152d1180cfc5cf9&amp;qlt=95" TargetMode="External"/><Relationship Id="rId183" Type="http://schemas.openxmlformats.org/officeDocument/2006/relationships/hyperlink" Target="https://www.bing.com/th?id=OSK.9f8afb548e28792918da15f503820d35&amp;qlt=95" TargetMode="External"/><Relationship Id="rId239" Type="http://schemas.openxmlformats.org/officeDocument/2006/relationships/hyperlink" Target="https://www.bing.com/th?id=OSK.4d2d104c9bb05ea304dcc84ae7408d12&amp;qlt=95" TargetMode="External"/><Relationship Id="rId390" Type="http://schemas.openxmlformats.org/officeDocument/2006/relationships/hyperlink" Target="https://www.bing.com/images/search?form=xlimg&amp;q=Yerington,%20Nevada" TargetMode="External"/><Relationship Id="rId404" Type="http://schemas.openxmlformats.org/officeDocument/2006/relationships/hyperlink" Target="https://www.bing.com/images/search?form=xlimg&amp;q=Edmonds,%20Washington" TargetMode="External"/><Relationship Id="rId446" Type="http://schemas.openxmlformats.org/officeDocument/2006/relationships/hyperlink" Target="https://www.bing.com/images/search?form=xlimg&amp;q=Walla%20Walla,%20Washington" TargetMode="External"/><Relationship Id="rId250" Type="http://schemas.openxmlformats.org/officeDocument/2006/relationships/hyperlink" Target="https://www.bing.com/images/search?form=xlimg&amp;q=Sunnyvale,%20California" TargetMode="External"/><Relationship Id="rId292" Type="http://schemas.openxmlformats.org/officeDocument/2006/relationships/hyperlink" Target="https://www.bing.com/images/search?form=xlimg&amp;q=Willows,%20California" TargetMode="External"/><Relationship Id="rId306" Type="http://schemas.openxmlformats.org/officeDocument/2006/relationships/hyperlink" Target="https://www.bing.com/images/search?form=xlimg&amp;q=Astoria,%20Oregon" TargetMode="External"/><Relationship Id="rId488" Type="http://schemas.openxmlformats.org/officeDocument/2006/relationships/hyperlink" Target="https://www.bing.com/images/search?form=xlimg&amp;q=Ensenada,%20Baja%20California" TargetMode="External"/><Relationship Id="rId45" Type="http://schemas.openxmlformats.org/officeDocument/2006/relationships/hyperlink" Target="https://www.bing.com/th?id=OSK.959bdd0c3653aa2df1e7649e7837a1fe&amp;qlt=95" TargetMode="External"/><Relationship Id="rId87" Type="http://schemas.openxmlformats.org/officeDocument/2006/relationships/hyperlink" Target="https://www.bing.com/th?id=OSK.30deed90c036354ca57442b2454fdb55&amp;qlt=95" TargetMode="External"/><Relationship Id="rId110" Type="http://schemas.openxmlformats.org/officeDocument/2006/relationships/hyperlink" Target="https://www.bing.com/images/search?form=xlimg&amp;q=Independence,%20California" TargetMode="External"/><Relationship Id="rId348" Type="http://schemas.openxmlformats.org/officeDocument/2006/relationships/hyperlink" Target="https://www.bing.com/images/search?form=xlimg&amp;q=Roseburg,%20Oregon" TargetMode="External"/><Relationship Id="rId152" Type="http://schemas.openxmlformats.org/officeDocument/2006/relationships/hyperlink" Target="https://www.bing.com/images/search?form=xlimg&amp;q=Mojave,%20California" TargetMode="External"/><Relationship Id="rId194" Type="http://schemas.openxmlformats.org/officeDocument/2006/relationships/hyperlink" Target="https://www.bing.com/images/search?form=xlimg&amp;q=Porterville,%20California" TargetMode="External"/><Relationship Id="rId208" Type="http://schemas.openxmlformats.org/officeDocument/2006/relationships/hyperlink" Target="https://www.bing.com/images/search?form=xlimg&amp;q=Sacramento,%20California" TargetMode="External"/><Relationship Id="rId415" Type="http://schemas.openxmlformats.org/officeDocument/2006/relationships/hyperlink" Target="https://www.bing.com/th?id=OSK.135051cab1ea485b8dfa80c553f43e83&amp;qlt=95" TargetMode="External"/><Relationship Id="rId457" Type="http://schemas.openxmlformats.org/officeDocument/2006/relationships/hyperlink" Target="https://www.bing.com/th?id=OSK.d3cd836bd344a30def72e31748d1ebd0&amp;qlt=95" TargetMode="External"/><Relationship Id="rId261" Type="http://schemas.openxmlformats.org/officeDocument/2006/relationships/hyperlink" Target="https://www.bing.com/th?id=OSK.666445ccf61c8f45065e81d6a1dd1503&amp;qlt=95" TargetMode="External"/><Relationship Id="rId499" Type="http://schemas.openxmlformats.org/officeDocument/2006/relationships/hyperlink" Target="https://www.bing.com/th?id=OSK.99a3465deac7ccbd522ed390cc27a3fd&amp;qlt=95" TargetMode="External"/><Relationship Id="rId14" Type="http://schemas.openxmlformats.org/officeDocument/2006/relationships/hyperlink" Target="https://www.bing.com/images/search?form=xlimg&amp;q=Merced,%20California" TargetMode="External"/><Relationship Id="rId56" Type="http://schemas.openxmlformats.org/officeDocument/2006/relationships/hyperlink" Target="https://www.bing.com/images/search?form=xlimg&amp;q=Corona,%20California" TargetMode="External"/><Relationship Id="rId317" Type="http://schemas.openxmlformats.org/officeDocument/2006/relationships/hyperlink" Target="https://www.bing.com/th?id=OSK.275b0a1d7fc9ee7e88f41a9177d203e9&amp;qlt=95" TargetMode="External"/><Relationship Id="rId359" Type="http://schemas.openxmlformats.org/officeDocument/2006/relationships/hyperlink" Target="https://www.bing.com/th?id=OSK.6a1812931dcbfc952b3daf89502b08fc&amp;qlt=95" TargetMode="External"/><Relationship Id="rId98" Type="http://schemas.openxmlformats.org/officeDocument/2006/relationships/hyperlink" Target="https://www.bing.com/images/search?form=xlimg&amp;q=Half%20Moon%20Bay,%20California" TargetMode="External"/><Relationship Id="rId121" Type="http://schemas.openxmlformats.org/officeDocument/2006/relationships/hyperlink" Target="https://www.bing.com/th?id=OSK.43fbcab8c23b4210a781d1a996ca5aa4&amp;qlt=95" TargetMode="External"/><Relationship Id="rId163" Type="http://schemas.openxmlformats.org/officeDocument/2006/relationships/hyperlink" Target="https://www.bing.com/th?id=OSK.bac185566385b512606f20a021db0db3&amp;qlt=95" TargetMode="External"/><Relationship Id="rId219" Type="http://schemas.openxmlformats.org/officeDocument/2006/relationships/hyperlink" Target="https://www.bing.com/th?id=OSK.d3e13cbd10783e70b4b65fd4cf0f1a7a&amp;qlt=95" TargetMode="External"/><Relationship Id="rId370" Type="http://schemas.openxmlformats.org/officeDocument/2006/relationships/hyperlink" Target="https://www.bing.com/images/search?form=xlimg&amp;q=Henderson,%20Nevada" TargetMode="External"/><Relationship Id="rId426" Type="http://schemas.openxmlformats.org/officeDocument/2006/relationships/hyperlink" Target="https://www.bing.com/images/search?form=xlimg&amp;q=Newport,%20Washington" TargetMode="External"/><Relationship Id="rId230" Type="http://schemas.openxmlformats.org/officeDocument/2006/relationships/hyperlink" Target="https://www.bing.com/images/search?form=xlimg&amp;q=Santa%20Barbara,%20California" TargetMode="External"/><Relationship Id="rId468" Type="http://schemas.openxmlformats.org/officeDocument/2006/relationships/hyperlink" Target="https://www.bing.com/images/search?form=xlimg&amp;q=Meridian,%20Idaho" TargetMode="External"/><Relationship Id="rId25" Type="http://schemas.openxmlformats.org/officeDocument/2006/relationships/hyperlink" Target="https://www.bing.com/th?id=OSK.8556690d9353e7ac72b95f51c40699f6&amp;qlt=95" TargetMode="External"/><Relationship Id="rId67" Type="http://schemas.openxmlformats.org/officeDocument/2006/relationships/hyperlink" Target="https://www.bing.com/th?id=OSK.a1fc1a1a7e6882ec3d30361ef87c2f7d&amp;qlt=95" TargetMode="External"/><Relationship Id="rId272" Type="http://schemas.openxmlformats.org/officeDocument/2006/relationships/hyperlink" Target="https://www.bing.com/images/search?form=xlimg&amp;q=Vallejo,%20California" TargetMode="External"/><Relationship Id="rId328" Type="http://schemas.openxmlformats.org/officeDocument/2006/relationships/hyperlink" Target="https://www.bing.com/images/search?form=xlimg&amp;q=Grants%20Pass,%20Oregon" TargetMode="External"/><Relationship Id="rId132" Type="http://schemas.openxmlformats.org/officeDocument/2006/relationships/hyperlink" Target="https://www.bing.com/images/search?form=xlimg&amp;q=Lone%20Pine,%20California" TargetMode="External"/><Relationship Id="rId174" Type="http://schemas.openxmlformats.org/officeDocument/2006/relationships/hyperlink" Target="https://www.bing.com/images/search?form=xlimg&amp;q=Oxnard,%20California" TargetMode="External"/><Relationship Id="rId381" Type="http://schemas.openxmlformats.org/officeDocument/2006/relationships/hyperlink" Target="https://www.bing.com/th?id=OSK.nnTost6Tx0ONYtk3uEQ1Z9npgAQ3WxoRC3JFKWUjx7w&amp;qlt=95" TargetMode="External"/><Relationship Id="rId241" Type="http://schemas.openxmlformats.org/officeDocument/2006/relationships/hyperlink" Target="https://www.bing.com/th?id=OSK.3ad77987c4ab8e8ceb675cd46b40d023&amp;qlt=95" TargetMode="External"/><Relationship Id="rId437" Type="http://schemas.openxmlformats.org/officeDocument/2006/relationships/hyperlink" Target="https://www.bing.com/th?id=OSK.bc0e6120e642a1422e0bea5da12fbd5f&amp;qlt=95" TargetMode="External"/><Relationship Id="rId479" Type="http://schemas.openxmlformats.org/officeDocument/2006/relationships/hyperlink" Target="https://www.bing.com/th?id=OSK.55c717aa383116688fce7a0c63415501&amp;qlt=95" TargetMode="External"/><Relationship Id="rId36" Type="http://schemas.openxmlformats.org/officeDocument/2006/relationships/hyperlink" Target="https://www.bing.com/images/search?form=xlimg&amp;q=Bridgeport,%20California" TargetMode="External"/><Relationship Id="rId283" Type="http://schemas.openxmlformats.org/officeDocument/2006/relationships/hyperlink" Target="https://www.bing.com/th?id=OSK.f23281d23649293bf89c3b69df87e17d&amp;qlt=95" TargetMode="External"/><Relationship Id="rId339" Type="http://schemas.openxmlformats.org/officeDocument/2006/relationships/hyperlink" Target="https://www.bing.com/th?id=OSK.b1dc8942e52270549871e6a011e85862&amp;qlt=95" TargetMode="External"/><Relationship Id="rId490" Type="http://schemas.openxmlformats.org/officeDocument/2006/relationships/hyperlink" Target="https://www.bing.com/images/search?form=xlimg&amp;q=L%c3%a1zaro%20C%c3%a1rdenas,%20Baja%20California" TargetMode="External"/><Relationship Id="rId78" Type="http://schemas.openxmlformats.org/officeDocument/2006/relationships/hyperlink" Target="https://www.bing.com/images/search?form=xlimg&amp;q=Escondido,%20California" TargetMode="External"/><Relationship Id="rId101" Type="http://schemas.openxmlformats.org/officeDocument/2006/relationships/hyperlink" Target="https://www.bing.com/th?id=OSK.c044ec01b63ca002b2f3fa87fbbc889f&amp;qlt=95" TargetMode="External"/><Relationship Id="rId143" Type="http://schemas.openxmlformats.org/officeDocument/2006/relationships/hyperlink" Target="https://www.bing.com/th?id=OSK.0f4633b758d8141a25f041cf823ae65b&amp;qlt=95" TargetMode="External"/><Relationship Id="rId185" Type="http://schemas.openxmlformats.org/officeDocument/2006/relationships/hyperlink" Target="https://www.bing.com/th?id=OSK.e92d7a1d9f2e832b061b241697e9f2d5&amp;qlt=95" TargetMode="External"/><Relationship Id="rId350" Type="http://schemas.openxmlformats.org/officeDocument/2006/relationships/hyperlink" Target="https://www.bing.com/images/search?form=xlimg&amp;q=Salem,%20Oregon" TargetMode="External"/><Relationship Id="rId406" Type="http://schemas.openxmlformats.org/officeDocument/2006/relationships/hyperlink" Target="https://www.bing.com/images/search?form=xlimg&amp;q=Ellensburg,%20Washington" TargetMode="External"/><Relationship Id="rId9" Type="http://schemas.openxmlformats.org/officeDocument/2006/relationships/hyperlink" Target="https://www.bing.com/th?id=OSK.c1553b0d0fc727d9244f5f9271e67366&amp;qlt=95" TargetMode="External"/><Relationship Id="rId210" Type="http://schemas.openxmlformats.org/officeDocument/2006/relationships/hyperlink" Target="https://www.bing.com/images/search?form=xlimg&amp;q=Salinas,%20California" TargetMode="External"/><Relationship Id="rId392" Type="http://schemas.openxmlformats.org/officeDocument/2006/relationships/hyperlink" Target="https://www.bing.com/images/search?form=xlimg&amp;q=Auburn,%20Washington" TargetMode="External"/><Relationship Id="rId448" Type="http://schemas.openxmlformats.org/officeDocument/2006/relationships/hyperlink" Target="https://www.bing.com/images/search?form=xlimg&amp;q=Wenatchee,%20Washington" TargetMode="External"/><Relationship Id="rId252" Type="http://schemas.openxmlformats.org/officeDocument/2006/relationships/hyperlink" Target="https://www.bing.com/images/search?form=xlimg&amp;q=Susanville,%20California" TargetMode="External"/><Relationship Id="rId294" Type="http://schemas.openxmlformats.org/officeDocument/2006/relationships/hyperlink" Target="https://www.bing.com/images/search?form=xlimg&amp;q=Woodland,%20California" TargetMode="External"/><Relationship Id="rId308" Type="http://schemas.openxmlformats.org/officeDocument/2006/relationships/hyperlink" Target="https://www.bing.com/images/search?form=xlimg&amp;q=Baker%20City,%20Oregon" TargetMode="External"/><Relationship Id="rId47" Type="http://schemas.openxmlformats.org/officeDocument/2006/relationships/hyperlink" Target="https://www.bing.com/th?id=OSK.08e4ae413070abaf1e05a971090db91a&amp;qlt=95" TargetMode="External"/><Relationship Id="rId89" Type="http://schemas.openxmlformats.org/officeDocument/2006/relationships/hyperlink" Target="https://www.bing.com/th?id=OSK.f521c59f5d5551bae8dbc9a9fee13377&amp;qlt=95" TargetMode="External"/><Relationship Id="rId112" Type="http://schemas.openxmlformats.org/officeDocument/2006/relationships/hyperlink" Target="https://www.bing.com/images/search?form=xlimg&amp;q=Indio,%20California" TargetMode="External"/><Relationship Id="rId154" Type="http://schemas.openxmlformats.org/officeDocument/2006/relationships/hyperlink" Target="https://www.bing.com/images/search?form=xlimg&amp;q=Mammoth%20Lakes,%20California" TargetMode="External"/><Relationship Id="rId361" Type="http://schemas.openxmlformats.org/officeDocument/2006/relationships/hyperlink" Target="https://www.bing.com/th?id=OSK.3d31c82d127d51a6e6fd6f81abf0563f&amp;qlt=95" TargetMode="External"/><Relationship Id="rId196" Type="http://schemas.openxmlformats.org/officeDocument/2006/relationships/hyperlink" Target="https://www.bing.com/images/search?form=xlimg&amp;q=Red%20Bluff,%20California" TargetMode="External"/><Relationship Id="rId417" Type="http://schemas.openxmlformats.org/officeDocument/2006/relationships/hyperlink" Target="https://www.bing.com/th?id=OSK.e6b477fefa29e24dd7bf48d2a70033f2&amp;qlt=95" TargetMode="External"/><Relationship Id="rId459" Type="http://schemas.openxmlformats.org/officeDocument/2006/relationships/hyperlink" Target="https://www.bing.com/th?id=OSK.1aca0ec7e014c90a4ec0f1458919ff5c&amp;qlt=95" TargetMode="External"/><Relationship Id="rId16" Type="http://schemas.openxmlformats.org/officeDocument/2006/relationships/hyperlink" Target="https://www.bing.com/images/search?form=xlimg&amp;q=Avalon,%20California" TargetMode="External"/><Relationship Id="rId221" Type="http://schemas.openxmlformats.org/officeDocument/2006/relationships/hyperlink" Target="https://www.bing.com/th?id=OSK.9d406bbc58b7d0f75affcd3c1fc4240d&amp;qlt=95" TargetMode="External"/><Relationship Id="rId263" Type="http://schemas.openxmlformats.org/officeDocument/2006/relationships/hyperlink" Target="https://www.bing.com/th?id=OSK.b711d2bf91620dd0bc61b9a95998cfd2&amp;qlt=95" TargetMode="External"/><Relationship Id="rId319" Type="http://schemas.openxmlformats.org/officeDocument/2006/relationships/hyperlink" Target="https://www.bing.com/th?id=OSK.3b614eef086a761c6545f61e865b7d01&amp;qlt=95" TargetMode="External"/><Relationship Id="rId470" Type="http://schemas.openxmlformats.org/officeDocument/2006/relationships/hyperlink" Target="https://www.bing.com/images/search?form=xlimg&amp;q=Moscow,%20Idaho" TargetMode="External"/><Relationship Id="rId58" Type="http://schemas.openxmlformats.org/officeDocument/2006/relationships/hyperlink" Target="https://www.bing.com/images/search?form=xlimg&amp;q=Covelo,%20California" TargetMode="External"/><Relationship Id="rId123" Type="http://schemas.openxmlformats.org/officeDocument/2006/relationships/hyperlink" Target="https://www.bing.com/th?id=OSK.d132c65230cae7f5464727c05741db97&amp;qlt=95" TargetMode="External"/><Relationship Id="rId330" Type="http://schemas.openxmlformats.org/officeDocument/2006/relationships/hyperlink" Target="https://www.bing.com/images/search?form=xlimg&amp;q=Gresham,%20Oregon" TargetMode="External"/><Relationship Id="rId165" Type="http://schemas.openxmlformats.org/officeDocument/2006/relationships/hyperlink" Target="https://www.bing.com/th?id=OSK.7035cc49a92b7faecb59f5c885f7b775&amp;qlt=95" TargetMode="External"/><Relationship Id="rId372" Type="http://schemas.openxmlformats.org/officeDocument/2006/relationships/hyperlink" Target="https://www.bing.com/images/search?form=xlimg&amp;q=Lund,%20Nevada" TargetMode="External"/><Relationship Id="rId428" Type="http://schemas.openxmlformats.org/officeDocument/2006/relationships/hyperlink" Target="https://www.bing.com/images/search?form=xlimg&amp;q=Olympia,%20Washington" TargetMode="External"/><Relationship Id="rId232" Type="http://schemas.openxmlformats.org/officeDocument/2006/relationships/hyperlink" Target="https://www.bing.com/images/search?form=xlimg&amp;q=Santa%20Clarita,%20California" TargetMode="External"/><Relationship Id="rId274" Type="http://schemas.openxmlformats.org/officeDocument/2006/relationships/hyperlink" Target="https://www.bing.com/images/search?form=xlimg&amp;q=Valley%20Springs,%20California" TargetMode="External"/><Relationship Id="rId481" Type="http://schemas.openxmlformats.org/officeDocument/2006/relationships/hyperlink" Target="https://www.bing.com/th?id=OSK.eebf83f96aae385bb3570ac7f53bc289&amp;qlt=95" TargetMode="External"/><Relationship Id="rId27" Type="http://schemas.openxmlformats.org/officeDocument/2006/relationships/hyperlink" Target="https://www.bing.com/th?id=OSK.cce8cca3e7200c79b7949cec5caaae30&amp;qlt=95" TargetMode="External"/><Relationship Id="rId69" Type="http://schemas.openxmlformats.org/officeDocument/2006/relationships/hyperlink" Target="https://www.bing.com/th?id=OSK.9a4cd978cac97582c4913e1a7edd1ca1&amp;qlt=95" TargetMode="External"/><Relationship Id="rId134" Type="http://schemas.openxmlformats.org/officeDocument/2006/relationships/hyperlink" Target="https://www.bing.com/images/search?form=xlimg&amp;q=Long%20Beach,%20California" TargetMode="External"/><Relationship Id="rId80" Type="http://schemas.openxmlformats.org/officeDocument/2006/relationships/hyperlink" Target="https://www.bing.com/images/search?form=xlimg&amp;q=Eureka,%20California" TargetMode="External"/><Relationship Id="rId176" Type="http://schemas.openxmlformats.org/officeDocument/2006/relationships/hyperlink" Target="https://www.bing.com/images/search?form=xlimg&amp;q=Palm%20Springs,%20California" TargetMode="External"/><Relationship Id="rId341" Type="http://schemas.openxmlformats.org/officeDocument/2006/relationships/hyperlink" Target="https://www.bing.com/th?id=OSK.e4c56bff1f21ad89d9c900e722ce164b&amp;qlt=95" TargetMode="External"/><Relationship Id="rId383" Type="http://schemas.openxmlformats.org/officeDocument/2006/relationships/hyperlink" Target="https://www.bing.com/th?id=OSK.f318c1fd939a1a377e98c11e7d573fc7&amp;qlt=95" TargetMode="External"/><Relationship Id="rId439" Type="http://schemas.openxmlformats.org/officeDocument/2006/relationships/hyperlink" Target="https://www.bing.com/th?id=OSK.6aacfdffa2746c375eab8ee4a4ea0e6d&amp;qlt=95" TargetMode="External"/><Relationship Id="rId201" Type="http://schemas.openxmlformats.org/officeDocument/2006/relationships/hyperlink" Target="https://www.bing.com/th?id=OSK.4539325518d98458c8993c681db8e437&amp;qlt=95" TargetMode="External"/><Relationship Id="rId243" Type="http://schemas.openxmlformats.org/officeDocument/2006/relationships/hyperlink" Target="https://www.bing.com/th?id=OSK.66eefadbc1c3b8ba31a660df4b51c90a&amp;qlt=95" TargetMode="External"/><Relationship Id="rId285" Type="http://schemas.openxmlformats.org/officeDocument/2006/relationships/hyperlink" Target="https://www.bing.com/th?id=OSK.ac9374053fed6c4c06ea152a5914c890&amp;qlt=95" TargetMode="External"/><Relationship Id="rId450" Type="http://schemas.openxmlformats.org/officeDocument/2006/relationships/hyperlink" Target="https://www.bing.com/images/search?form=xlimg&amp;q=Yakima,%20Washington" TargetMode="External"/><Relationship Id="rId38" Type="http://schemas.openxmlformats.org/officeDocument/2006/relationships/hyperlink" Target="https://www.bing.com/images/search?form=xlimg&amp;q=Carlsbad,%20California" TargetMode="External"/><Relationship Id="rId103" Type="http://schemas.openxmlformats.org/officeDocument/2006/relationships/hyperlink" Target="https://www.bing.com/th?id=OSK.10e3b9c884cb25f351fb5a308814eb50&amp;qlt=95" TargetMode="External"/><Relationship Id="rId310" Type="http://schemas.openxmlformats.org/officeDocument/2006/relationships/hyperlink" Target="https://www.bing.com/images/search?form=xlimg&amp;q=Bandon,%20Oregon" TargetMode="External"/><Relationship Id="rId492" Type="http://schemas.openxmlformats.org/officeDocument/2006/relationships/hyperlink" Target="https://www.bing.com/images/search?form=xlimg&amp;q=Mexicali" TargetMode="External"/><Relationship Id="rId91" Type="http://schemas.openxmlformats.org/officeDocument/2006/relationships/hyperlink" Target="https://www.bing.com/th?id=OSK.b7565c608baf11aa507c968b2a668cbb&amp;qlt=95" TargetMode="External"/><Relationship Id="rId145" Type="http://schemas.openxmlformats.org/officeDocument/2006/relationships/hyperlink" Target="https://www.bing.com/th?id=OSK.55e5b9199c7c291d0d623f916846222f&amp;qlt=95" TargetMode="External"/><Relationship Id="rId187" Type="http://schemas.openxmlformats.org/officeDocument/2006/relationships/hyperlink" Target="https://www.bing.com/th?id=OSK.04414a262a4e5a9613c6b7c2dc83a451&amp;qlt=95" TargetMode="External"/><Relationship Id="rId352" Type="http://schemas.openxmlformats.org/officeDocument/2006/relationships/hyperlink" Target="https://www.bing.com/images/search?form=xlimg&amp;q=Austin,%20Nevada" TargetMode="External"/><Relationship Id="rId394" Type="http://schemas.openxmlformats.org/officeDocument/2006/relationships/hyperlink" Target="https://www.bing.com/images/search?form=xlimg&amp;q=Bellevue,%20Washington" TargetMode="External"/><Relationship Id="rId408" Type="http://schemas.openxmlformats.org/officeDocument/2006/relationships/hyperlink" Target="https://www.bing.com/images/search?form=xlimg&amp;q=Everett,%20Washington" TargetMode="External"/><Relationship Id="rId212" Type="http://schemas.openxmlformats.org/officeDocument/2006/relationships/hyperlink" Target="https://www.bing.com/images/search?form=xlimg&amp;q=San%20Bernardino,%20California" TargetMode="External"/><Relationship Id="rId254" Type="http://schemas.openxmlformats.org/officeDocument/2006/relationships/hyperlink" Target="https://www.bing.com/images/search?form=xlimg&amp;q=Temecula,%20California" TargetMode="External"/><Relationship Id="rId49" Type="http://schemas.openxmlformats.org/officeDocument/2006/relationships/hyperlink" Target="https://www.bing.com/th?id=OSK.aeec1e006372b058fe4ebb8f33efe2ff&amp;qlt=95" TargetMode="External"/><Relationship Id="rId114" Type="http://schemas.openxmlformats.org/officeDocument/2006/relationships/hyperlink" Target="https://www.bing.com/images/search?form=xlimg&amp;q=Inglewood,%20California" TargetMode="External"/><Relationship Id="rId296" Type="http://schemas.openxmlformats.org/officeDocument/2006/relationships/hyperlink" Target="https://www.bing.com/images/search?form=xlimg&amp;q=Yreka,%20California" TargetMode="External"/><Relationship Id="rId461" Type="http://schemas.openxmlformats.org/officeDocument/2006/relationships/hyperlink" Target="https://www.bing.com/th?id=OSK.a6502db01c3354dbca184e3f9cd4f202&amp;qlt=95" TargetMode="External"/><Relationship Id="rId60" Type="http://schemas.openxmlformats.org/officeDocument/2006/relationships/hyperlink" Target="https://www.bing.com/images/search?form=xlimg&amp;q=Mendocino%20County,%20California" TargetMode="External"/><Relationship Id="rId156" Type="http://schemas.openxmlformats.org/officeDocument/2006/relationships/hyperlink" Target="https://www.bing.com/images/search?form=xlimg&amp;q=Monterey,%20California" TargetMode="External"/><Relationship Id="rId198" Type="http://schemas.openxmlformats.org/officeDocument/2006/relationships/hyperlink" Target="https://www.bing.com/images/search?form=xlimg&amp;q=Redding,%20California" TargetMode="External"/><Relationship Id="rId321" Type="http://schemas.openxmlformats.org/officeDocument/2006/relationships/hyperlink" Target="https://www.bing.com/th?id=OSK.df60e050fa464b9eaef5f571b31629a1&amp;qlt=95" TargetMode="External"/><Relationship Id="rId363" Type="http://schemas.openxmlformats.org/officeDocument/2006/relationships/hyperlink" Target="https://www.bing.com/th?id=OSK.16161d2b62742c8fe2d48514ff51cc19&amp;qlt=95" TargetMode="External"/><Relationship Id="rId419" Type="http://schemas.openxmlformats.org/officeDocument/2006/relationships/hyperlink" Target="https://www.bing.com/th?id=OSK.915b786c82a688243e6267e52ccf9c42&amp;qlt=95" TargetMode="External"/><Relationship Id="rId223" Type="http://schemas.openxmlformats.org/officeDocument/2006/relationships/hyperlink" Target="https://www.bing.com/th?id=OSK.2b2ed7802d3314898307007157ae7ad7&amp;qlt=95" TargetMode="External"/><Relationship Id="rId430" Type="http://schemas.openxmlformats.org/officeDocument/2006/relationships/hyperlink" Target="https://www.bing.com/images/search?form=xlimg&amp;q=Omak,%20Washington" TargetMode="External"/><Relationship Id="rId18" Type="http://schemas.openxmlformats.org/officeDocument/2006/relationships/hyperlink" Target="https://www.bing.com/images/search?form=xlimg&amp;q=Bakersfield,%20California" TargetMode="External"/><Relationship Id="rId265" Type="http://schemas.openxmlformats.org/officeDocument/2006/relationships/hyperlink" Target="https://www.bing.com/th?id=OSK.3e1c168608fac94493eb9ce64547bf17&amp;qlt=95" TargetMode="External"/><Relationship Id="rId472" Type="http://schemas.openxmlformats.org/officeDocument/2006/relationships/hyperlink" Target="https://www.bing.com/images/search?form=xlimg&amp;q=Nampa,%20Idaho" TargetMode="External"/><Relationship Id="rId125" Type="http://schemas.openxmlformats.org/officeDocument/2006/relationships/hyperlink" Target="https://www.bing.com/th?id=OSK.57fd282e80b15c62c9386c567612413b&amp;qlt=95" TargetMode="External"/><Relationship Id="rId167" Type="http://schemas.openxmlformats.org/officeDocument/2006/relationships/hyperlink" Target="https://www.bing.com/th?id=OSK.cf5922aa1bf7ae4197136b64a9d731d9&amp;qlt=95" TargetMode="External"/><Relationship Id="rId332" Type="http://schemas.openxmlformats.org/officeDocument/2006/relationships/hyperlink" Target="https://www.bing.com/images/search?form=xlimg&amp;q=Hillsboro,%20Oregon" TargetMode="External"/><Relationship Id="rId374" Type="http://schemas.openxmlformats.org/officeDocument/2006/relationships/hyperlink" Target="https://www.bing.com/images/search?form=xlimg&amp;q=North%20Las%20Vegas,%20Nevada" TargetMode="External"/><Relationship Id="rId71" Type="http://schemas.openxmlformats.org/officeDocument/2006/relationships/hyperlink" Target="https://www.bing.com/th?id=OSK.f4d6c7b9359f1af344430960e26a4d5e&amp;qlt=95" TargetMode="External"/><Relationship Id="rId234" Type="http://schemas.openxmlformats.org/officeDocument/2006/relationships/hyperlink" Target="https://www.bing.com/images/search?form=xlimg&amp;q=Santa%20Cruz,%20California" TargetMode="External"/><Relationship Id="rId2" Type="http://schemas.openxmlformats.org/officeDocument/2006/relationships/hyperlink" Target="https://www.bing.com/images/search?form=xlimg&amp;q=Alturas,%20California" TargetMode="External"/><Relationship Id="rId29" Type="http://schemas.openxmlformats.org/officeDocument/2006/relationships/hyperlink" Target="https://www.bing.com/th?id=OSK.dea38413582e6d84904c398597431cb7&amp;qlt=95" TargetMode="External"/><Relationship Id="rId276" Type="http://schemas.openxmlformats.org/officeDocument/2006/relationships/hyperlink" Target="https://www.bing.com/images/search?form=xlimg&amp;q=Ventura,%20California" TargetMode="External"/><Relationship Id="rId441" Type="http://schemas.openxmlformats.org/officeDocument/2006/relationships/hyperlink" Target="https://www.bing.com/th?id=OSK.d314319a2eeeaf96358f5956a58dcdca&amp;qlt=95" TargetMode="External"/><Relationship Id="rId483" Type="http://schemas.openxmlformats.org/officeDocument/2006/relationships/hyperlink" Target="https://www.bing.com/th?id=OSK.6c856ff5b1d8a53cf9608912769648ae&amp;qlt=95" TargetMode="External"/><Relationship Id="rId40" Type="http://schemas.openxmlformats.org/officeDocument/2006/relationships/hyperlink" Target="https://www.bing.com/images/search?form=xlimg&amp;q=Chester,%20California" TargetMode="External"/><Relationship Id="rId136" Type="http://schemas.openxmlformats.org/officeDocument/2006/relationships/hyperlink" Target="https://www.bing.com/images/search?form=xlimg&amp;q=Los%20Angeles" TargetMode="External"/><Relationship Id="rId178" Type="http://schemas.openxmlformats.org/officeDocument/2006/relationships/hyperlink" Target="https://www.bing.com/images/search?form=xlimg&amp;q=Palmdale,%20California" TargetMode="External"/><Relationship Id="rId301" Type="http://schemas.openxmlformats.org/officeDocument/2006/relationships/hyperlink" Target="https://www.bing.com/th?id=OSK.8a850e90bc97465fc65c9d6fb441b11e&amp;qlt=95" TargetMode="External"/><Relationship Id="rId343" Type="http://schemas.openxmlformats.org/officeDocument/2006/relationships/hyperlink" Target="https://www.bing.com/th?id=OSK.687ce8faa6535ad38f0e4152f02a437f&amp;qlt=95" TargetMode="External"/><Relationship Id="rId82" Type="http://schemas.openxmlformats.org/officeDocument/2006/relationships/hyperlink" Target="https://www.bing.com/images/search?form=xlimg&amp;q=Fairfield,%20California" TargetMode="External"/><Relationship Id="rId203" Type="http://schemas.openxmlformats.org/officeDocument/2006/relationships/hyperlink" Target="https://www.bing.com/th?id=OSK.e5ba4b0bd059c55194335251db8b8700&amp;qlt=95" TargetMode="External"/><Relationship Id="rId385" Type="http://schemas.openxmlformats.org/officeDocument/2006/relationships/hyperlink" Target="https://www.bing.com/th?id=OSK.703504c80ec37e69581e3a7124e94c38&amp;qlt=95" TargetMode="External"/><Relationship Id="rId245" Type="http://schemas.openxmlformats.org/officeDocument/2006/relationships/hyperlink" Target="https://www.bing.com/th?id=OSK.dd29a8e66e78c585c461190292dc1e63&amp;qlt=95" TargetMode="External"/><Relationship Id="rId287" Type="http://schemas.openxmlformats.org/officeDocument/2006/relationships/hyperlink" Target="https://www.bing.com/th?id=OSK.d028b3d87726f23c5b2bb5a3a3241710&amp;qlt=95" TargetMode="External"/><Relationship Id="rId410" Type="http://schemas.openxmlformats.org/officeDocument/2006/relationships/hyperlink" Target="https://www.bing.com/images/search?form=xlimg&amp;q=Kennewick,%20Washington" TargetMode="External"/><Relationship Id="rId452" Type="http://schemas.openxmlformats.org/officeDocument/2006/relationships/hyperlink" Target="https://www.bing.com/images/search?form=xlimg&amp;q=Athol,%20Idaho" TargetMode="External"/><Relationship Id="rId494" Type="http://schemas.openxmlformats.org/officeDocument/2006/relationships/hyperlink" Target="https://www.bing.com/images/search?form=xlimg&amp;q=Rosarito" TargetMode="External"/><Relationship Id="rId105" Type="http://schemas.openxmlformats.org/officeDocument/2006/relationships/hyperlink" Target="https://www.bing.com/th?id=OSK.9ba35f6780635d72ae15e83d868d0b2a&amp;qlt=95" TargetMode="External"/><Relationship Id="rId147" Type="http://schemas.openxmlformats.org/officeDocument/2006/relationships/hyperlink" Target="https://www.bing.com/th?id=OSK.872f090c428a34ce3834441570f1a823&amp;qlt=95" TargetMode="External"/><Relationship Id="rId312" Type="http://schemas.openxmlformats.org/officeDocument/2006/relationships/hyperlink" Target="https://www.bing.com/images/search?form=xlimg&amp;q=Beaverton,%20Oregon" TargetMode="External"/><Relationship Id="rId354" Type="http://schemas.openxmlformats.org/officeDocument/2006/relationships/hyperlink" Target="https://www.bing.com/images/search?form=xlimg&amp;q=Battle%20Mountain,%20Nevada" TargetMode="External"/><Relationship Id="rId51" Type="http://schemas.openxmlformats.org/officeDocument/2006/relationships/hyperlink" Target="https://www.bing.com/th?id=OSK.305ee6fb0e266619a8921ed9e90d4a6e&amp;qlt=95" TargetMode="External"/><Relationship Id="rId93" Type="http://schemas.openxmlformats.org/officeDocument/2006/relationships/hyperlink" Target="https://www.bing.com/th?id=OSK.0992f50944b1e8e79fc61518d99a376c&amp;qlt=95" TargetMode="External"/><Relationship Id="rId189" Type="http://schemas.openxmlformats.org/officeDocument/2006/relationships/hyperlink" Target="https://www.bing.com/th?id=OSK.34f55fbdcb0e6395e017fdecf95fa4d3&amp;qlt=95" TargetMode="External"/><Relationship Id="rId396" Type="http://schemas.openxmlformats.org/officeDocument/2006/relationships/hyperlink" Target="https://www.bing.com/images/search?form=xlimg&amp;q=Bellingham,%20Washington" TargetMode="External"/><Relationship Id="rId214" Type="http://schemas.openxmlformats.org/officeDocument/2006/relationships/hyperlink" Target="https://www.bing.com/images/search?form=xlimg&amp;q=San%20Diego" TargetMode="External"/><Relationship Id="rId256" Type="http://schemas.openxmlformats.org/officeDocument/2006/relationships/hyperlink" Target="https://www.bing.com/images/search?form=xlimg&amp;q=Thousand%20Oaks,%20California" TargetMode="External"/><Relationship Id="rId298" Type="http://schemas.openxmlformats.org/officeDocument/2006/relationships/hyperlink" Target="https://www.bing.com/images/search?form=xlimg&amp;q=Yuba%20City,%20California" TargetMode="External"/><Relationship Id="rId421" Type="http://schemas.openxmlformats.org/officeDocument/2006/relationships/hyperlink" Target="https://www.bing.com/th?id=OSK.b077729ee6cc166fdc73c59fe430f9c8&amp;qlt=95" TargetMode="External"/><Relationship Id="rId463" Type="http://schemas.openxmlformats.org/officeDocument/2006/relationships/hyperlink" Target="https://www.bing.com/th?id=OSK.a5b338434214fc9d326d94a28d0687d7&amp;qlt=95" TargetMode="External"/><Relationship Id="rId116" Type="http://schemas.openxmlformats.org/officeDocument/2006/relationships/hyperlink" Target="https://www.bing.com/images/search?form=xlimg&amp;q=Irvine,%20California" TargetMode="External"/><Relationship Id="rId158" Type="http://schemas.openxmlformats.org/officeDocument/2006/relationships/hyperlink" Target="https://www.bing.com/images/search?form=xlimg&amp;q=Morro%20Bay,%20California" TargetMode="External"/><Relationship Id="rId323" Type="http://schemas.openxmlformats.org/officeDocument/2006/relationships/hyperlink" Target="https://www.bing.com/th?id=OSK.0c31c823b222911c226dbc7ed398e36f&amp;qlt=95" TargetMode="External"/><Relationship Id="rId20" Type="http://schemas.openxmlformats.org/officeDocument/2006/relationships/hyperlink" Target="https://www.bing.com/images/search?form=xlimg&amp;q=Barstow,%20California" TargetMode="External"/><Relationship Id="rId62" Type="http://schemas.openxmlformats.org/officeDocument/2006/relationships/hyperlink" Target="https://www.bing.com/images/search?form=xlimg&amp;q=Ukiah,%20California" TargetMode="External"/><Relationship Id="rId365" Type="http://schemas.openxmlformats.org/officeDocument/2006/relationships/hyperlink" Target="https://www.bing.com/th?id=OSK.3d8ee06aa3490c8b642dd606ad2d4b08&amp;qlt=95" TargetMode="External"/><Relationship Id="rId225" Type="http://schemas.openxmlformats.org/officeDocument/2006/relationships/hyperlink" Target="https://www.bing.com/th?id=OSK.bdd43a40217876a0bd829f6444d494d3&amp;qlt=95" TargetMode="External"/><Relationship Id="rId267" Type="http://schemas.openxmlformats.org/officeDocument/2006/relationships/hyperlink" Target="https://www.bing.com/th?id=OSK.d4e422a588a6351cbcbe09f481a02229&amp;qlt=95" TargetMode="External"/><Relationship Id="rId432" Type="http://schemas.openxmlformats.org/officeDocument/2006/relationships/hyperlink" Target="https://www.bing.com/images/search?form=xlimg&amp;q=Pullman,%20Washington" TargetMode="External"/><Relationship Id="rId474" Type="http://schemas.openxmlformats.org/officeDocument/2006/relationships/hyperlink" Target="https://www.bing.com/images/search?form=xlimg&amp;q=Post%20Falls,%20Idaho" TargetMode="External"/><Relationship Id="rId106" Type="http://schemas.openxmlformats.org/officeDocument/2006/relationships/hyperlink" Target="https://www.bing.com/images/search?form=xlimg&amp;q=Hollister,%20California" TargetMode="External"/><Relationship Id="rId127" Type="http://schemas.openxmlformats.org/officeDocument/2006/relationships/hyperlink" Target="https://www.bing.com/th?id=OSK.193a0cc32aac1cd31e6d9fa5d401781b&amp;qlt=95" TargetMode="External"/><Relationship Id="rId313" Type="http://schemas.openxmlformats.org/officeDocument/2006/relationships/hyperlink" Target="https://www.bing.com/th?id=OSK.69c245e4b666f581027f9d649487f84f&amp;qlt=95" TargetMode="External"/><Relationship Id="rId495" Type="http://schemas.openxmlformats.org/officeDocument/2006/relationships/hyperlink" Target="https://www.bing.com/th?id=OSK.1dacd39d45da18a585101824f17e8456&amp;qlt=95" TargetMode="External"/><Relationship Id="rId10" Type="http://schemas.openxmlformats.org/officeDocument/2006/relationships/hyperlink" Target="https://www.bing.com/images/search?form=xlimg&amp;q=Atwater,%20California" TargetMode="External"/><Relationship Id="rId31" Type="http://schemas.openxmlformats.org/officeDocument/2006/relationships/hyperlink" Target="https://www.bing.com/th?id=OSK.b2f20eebe29f60a4a2e369c089a55c5a&amp;qlt=95" TargetMode="External"/><Relationship Id="rId52" Type="http://schemas.openxmlformats.org/officeDocument/2006/relationships/hyperlink" Target="https://www.bing.com/images/search?form=xlimg&amp;q=Clovis,%20California" TargetMode="External"/><Relationship Id="rId73" Type="http://schemas.openxmlformats.org/officeDocument/2006/relationships/hyperlink" Target="https://www.bing.com/th?id=OSK.761c1a9cb9f38402bcd6139a2f2acd0d&amp;qlt=95" TargetMode="External"/><Relationship Id="rId94" Type="http://schemas.openxmlformats.org/officeDocument/2006/relationships/hyperlink" Target="https://www.bing.com/images/search?form=xlimg&amp;q=Gilroy,%20California" TargetMode="External"/><Relationship Id="rId148" Type="http://schemas.openxmlformats.org/officeDocument/2006/relationships/hyperlink" Target="https://www.bing.com/images/search?form=xlimg&amp;q=Mendocino,%20California" TargetMode="External"/><Relationship Id="rId169" Type="http://schemas.openxmlformats.org/officeDocument/2006/relationships/hyperlink" Target="https://www.bing.com/th?id=OSK.9901dbf556296f17f4e892182c7c3006&amp;qlt=95" TargetMode="External"/><Relationship Id="rId334" Type="http://schemas.openxmlformats.org/officeDocument/2006/relationships/hyperlink" Target="https://www.bing.com/images/search?form=xlimg&amp;q=Klamath%20Falls,%20Oregon" TargetMode="External"/><Relationship Id="rId355" Type="http://schemas.openxmlformats.org/officeDocument/2006/relationships/hyperlink" Target="https://www.bing.com/th?id=OSK.b636a672e7a861ae9e90568d12d7f20b&amp;qlt=95" TargetMode="External"/><Relationship Id="rId376" Type="http://schemas.openxmlformats.org/officeDocument/2006/relationships/hyperlink" Target="https://www.bing.com/images/search?form=xlimg&amp;q=Pahrump,%20Nevada" TargetMode="External"/><Relationship Id="rId397" Type="http://schemas.openxmlformats.org/officeDocument/2006/relationships/hyperlink" Target="https://www.bing.com/th?id=OSK.7e092d98ce5b4653d969fa7b9ac722ca&amp;qlt=95" TargetMode="External"/><Relationship Id="rId4" Type="http://schemas.openxmlformats.org/officeDocument/2006/relationships/hyperlink" Target="https://www.bing.com/images/search?form=xlimg&amp;q=Anaheim,%20California" TargetMode="External"/><Relationship Id="rId180" Type="http://schemas.openxmlformats.org/officeDocument/2006/relationships/hyperlink" Target="https://www.bing.com/images/search?form=xlimg&amp;q=Palo%20Alto,%20California" TargetMode="External"/><Relationship Id="rId215" Type="http://schemas.openxmlformats.org/officeDocument/2006/relationships/hyperlink" Target="https://www.bing.com/th?id=OSK.8d8f2e6d59a28a35ae3beabbfba286ea&amp;qlt=95" TargetMode="External"/><Relationship Id="rId236" Type="http://schemas.openxmlformats.org/officeDocument/2006/relationships/hyperlink" Target="https://www.bing.com/images/search?form=xlimg&amp;q=Santa%20Maria,%20California" TargetMode="External"/><Relationship Id="rId257" Type="http://schemas.openxmlformats.org/officeDocument/2006/relationships/hyperlink" Target="https://www.bing.com/th?id=OSK.61d0ae65ccd76bf787b1e31e9a57fb18&amp;qlt=95" TargetMode="External"/><Relationship Id="rId278" Type="http://schemas.openxmlformats.org/officeDocument/2006/relationships/hyperlink" Target="https://www.bing.com/images/search?form=xlimg&amp;q=Victorville,%20California" TargetMode="External"/><Relationship Id="rId401" Type="http://schemas.openxmlformats.org/officeDocument/2006/relationships/hyperlink" Target="https://www.bing.com/th?id=OSK.da8ca8fd86e9e871ac16fbf111db58fd&amp;qlt=95" TargetMode="External"/><Relationship Id="rId422" Type="http://schemas.openxmlformats.org/officeDocument/2006/relationships/hyperlink" Target="https://www.bing.com/images/search?form=xlimg&amp;q=Moses%20Lake,%20Washington" TargetMode="External"/><Relationship Id="rId443" Type="http://schemas.openxmlformats.org/officeDocument/2006/relationships/hyperlink" Target="https://www.bing.com/th?id=OSK.670d68ea82b0cc1ca9ae20bfc292b50b&amp;qlt=95" TargetMode="External"/><Relationship Id="rId464" Type="http://schemas.openxmlformats.org/officeDocument/2006/relationships/hyperlink" Target="https://www.bing.com/images/search?form=xlimg&amp;q=Lewiston,%20Idaho" TargetMode="External"/><Relationship Id="rId303" Type="http://schemas.openxmlformats.org/officeDocument/2006/relationships/hyperlink" Target="https://www.bing.com/th?id=OSK.606b08be3c5ba45fb75a4b080623584a&amp;qlt=95" TargetMode="External"/><Relationship Id="rId485" Type="http://schemas.openxmlformats.org/officeDocument/2006/relationships/hyperlink" Target="https://www.bing.com/th?id=OSK.0750d4bdbccff3035abd30c8af99f635&amp;qlt=95" TargetMode="External"/><Relationship Id="rId42" Type="http://schemas.openxmlformats.org/officeDocument/2006/relationships/hyperlink" Target="https://www.bing.com/images/search?form=xlimg&amp;q=Chico,%20California" TargetMode="External"/><Relationship Id="rId84" Type="http://schemas.openxmlformats.org/officeDocument/2006/relationships/hyperlink" Target="https://www.bing.com/images/search?form=xlimg&amp;q=Folsom,%20California" TargetMode="External"/><Relationship Id="rId138" Type="http://schemas.openxmlformats.org/officeDocument/2006/relationships/hyperlink" Target="https://www.bing.com/images/search?form=xlimg&amp;q=Los%20Banos,%20California" TargetMode="External"/><Relationship Id="rId345" Type="http://schemas.openxmlformats.org/officeDocument/2006/relationships/hyperlink" Target="https://www.bing.com/th?id=OSK.633c7a1b1e16f2b018df96af6848ac5e&amp;qlt=95" TargetMode="External"/><Relationship Id="rId387" Type="http://schemas.openxmlformats.org/officeDocument/2006/relationships/hyperlink" Target="https://www.bing.com/th?id=OSK.e661e5327bdef36521ec6385ccaa015c&amp;qlt=95" TargetMode="External"/><Relationship Id="rId191" Type="http://schemas.openxmlformats.org/officeDocument/2006/relationships/hyperlink" Target="https://www.bing.com/th?id=OSK.94150846479692ba0aa66c2409894a18&amp;qlt=95" TargetMode="External"/><Relationship Id="rId205" Type="http://schemas.openxmlformats.org/officeDocument/2006/relationships/hyperlink" Target="https://www.bing.com/th?id=OSK.b888de22f4776602334804a82ba4ac17&amp;qlt=95" TargetMode="External"/><Relationship Id="rId247" Type="http://schemas.openxmlformats.org/officeDocument/2006/relationships/hyperlink" Target="https://www.bing.com/th?id=OSK.626595e1bf39ac8b5400fcf863ff801c&amp;qlt=95" TargetMode="External"/><Relationship Id="rId412" Type="http://schemas.openxmlformats.org/officeDocument/2006/relationships/hyperlink" Target="https://www.bing.com/images/search?form=xlimg&amp;q=Kent,%20Washington" TargetMode="External"/><Relationship Id="rId107" Type="http://schemas.openxmlformats.org/officeDocument/2006/relationships/hyperlink" Target="https://www.bing.com/th?id=OSK.8cfe2f37d0a1ced505efaded18869166&amp;qlt=95" TargetMode="External"/><Relationship Id="rId289" Type="http://schemas.openxmlformats.org/officeDocument/2006/relationships/hyperlink" Target="https://www.bing.com/th?id=OSK.0ce230b14081e6e28ff0af38637f78fd&amp;qlt=95" TargetMode="External"/><Relationship Id="rId454" Type="http://schemas.openxmlformats.org/officeDocument/2006/relationships/hyperlink" Target="https://www.bing.com/images/search?form=xlimg&amp;q=Boise,%20Idaho" TargetMode="External"/><Relationship Id="rId496" Type="http://schemas.openxmlformats.org/officeDocument/2006/relationships/hyperlink" Target="https://www.bing.com/images/search?form=xlimg&amp;q=San%20Felipe,%20Baja%20California" TargetMode="External"/><Relationship Id="rId11" Type="http://schemas.openxmlformats.org/officeDocument/2006/relationships/hyperlink" Target="https://www.bing.com/th?id=OSK.1a3ad0332a2df35160dcc4b54c22bce7&amp;qlt=95" TargetMode="External"/><Relationship Id="rId53" Type="http://schemas.openxmlformats.org/officeDocument/2006/relationships/hyperlink" Target="https://www.bing.com/th?id=OSK.2c9953aee8115c49e7f5bc51f2f890b7&amp;qlt=95" TargetMode="External"/><Relationship Id="rId149" Type="http://schemas.openxmlformats.org/officeDocument/2006/relationships/hyperlink" Target="https://www.bing.com/th?id=OSK.U5KIVaoE7DngnHMaa9QUyJaa72Is5AUssa6fBh9dbQo&amp;qlt=95" TargetMode="External"/><Relationship Id="rId314" Type="http://schemas.openxmlformats.org/officeDocument/2006/relationships/hyperlink" Target="https://www.bing.com/images/search?form=xlimg&amp;q=Bend,%20Oregon" TargetMode="External"/><Relationship Id="rId356" Type="http://schemas.openxmlformats.org/officeDocument/2006/relationships/hyperlink" Target="https://www.bing.com/images/search?form=xlimg&amp;q=Carlin,%20Nevada" TargetMode="External"/><Relationship Id="rId398" Type="http://schemas.openxmlformats.org/officeDocument/2006/relationships/hyperlink" Target="https://www.bing.com/images/search?form=xlimg&amp;q=Castle%20Rock,%20Washington" TargetMode="External"/><Relationship Id="rId95" Type="http://schemas.openxmlformats.org/officeDocument/2006/relationships/hyperlink" Target="https://www.bing.com/th?id=OSK.18cbc29e1c6ee533f192c3e14bd28991&amp;qlt=95" TargetMode="External"/><Relationship Id="rId160" Type="http://schemas.openxmlformats.org/officeDocument/2006/relationships/hyperlink" Target="https://www.bing.com/images/search?form=xlimg&amp;q=Mount%20Shasta,%20California" TargetMode="External"/><Relationship Id="rId216" Type="http://schemas.openxmlformats.org/officeDocument/2006/relationships/hyperlink" Target="https://www.bing.com/images/search?form=xlimg&amp;q=San%20Francisco" TargetMode="External"/><Relationship Id="rId423" Type="http://schemas.openxmlformats.org/officeDocument/2006/relationships/hyperlink" Target="https://www.bing.com/th?id=OSK.2747984980f96cb3b0de11e80d55188e&amp;qlt=95" TargetMode="External"/><Relationship Id="rId258" Type="http://schemas.openxmlformats.org/officeDocument/2006/relationships/hyperlink" Target="https://www.bing.com/images/search?form=xlimg&amp;q=Torrance,%20California" TargetMode="External"/><Relationship Id="rId465" Type="http://schemas.openxmlformats.org/officeDocument/2006/relationships/hyperlink" Target="https://www.bing.com/th?id=OSK.576db00e8f30b2f49689f943856cd93d&amp;qlt=95" TargetMode="External"/><Relationship Id="rId22" Type="http://schemas.openxmlformats.org/officeDocument/2006/relationships/hyperlink" Target="https://www.bing.com/images/search?form=xlimg&amp;q=Beaumont,%20California" TargetMode="External"/><Relationship Id="rId64" Type="http://schemas.openxmlformats.org/officeDocument/2006/relationships/hyperlink" Target="https://www.bing.com/images/search?form=xlimg&amp;q=Crescent%20City,%20California" TargetMode="External"/><Relationship Id="rId118" Type="http://schemas.openxmlformats.org/officeDocument/2006/relationships/hyperlink" Target="https://www.bing.com/images/search?form=xlimg&amp;q=Kettleman%20City,%20California" TargetMode="External"/><Relationship Id="rId325" Type="http://schemas.openxmlformats.org/officeDocument/2006/relationships/hyperlink" Target="https://www.bing.com/th?id=OSK.b53d36cb726fd08316ea1c35e2128af7&amp;qlt=95" TargetMode="External"/><Relationship Id="rId367" Type="http://schemas.openxmlformats.org/officeDocument/2006/relationships/hyperlink" Target="https://www.bing.com/th?id=OSK.4c5a970ccd8059207521168ef0bf404e&amp;qlt=95" TargetMode="External"/><Relationship Id="rId171" Type="http://schemas.openxmlformats.org/officeDocument/2006/relationships/hyperlink" Target="https://www.bing.com/th?id=OSK.a293805fe1f8da2a6b970de407af9e3d&amp;qlt=95" TargetMode="External"/><Relationship Id="rId227" Type="http://schemas.openxmlformats.org/officeDocument/2006/relationships/hyperlink" Target="https://www.bing.com/th?id=OSK.d2a0e898766d1691c425ba4550caa126&amp;qlt=95" TargetMode="External"/><Relationship Id="rId269" Type="http://schemas.openxmlformats.org/officeDocument/2006/relationships/hyperlink" Target="https://www.bing.com/th?id=OSK.3acaa3d6b6cf858e8d8e3403a4c1a2f0&amp;qlt=95" TargetMode="External"/><Relationship Id="rId434" Type="http://schemas.openxmlformats.org/officeDocument/2006/relationships/hyperlink" Target="https://www.bing.com/images/search?form=xlimg&amp;q=Renton,%20Washington" TargetMode="External"/><Relationship Id="rId476" Type="http://schemas.openxmlformats.org/officeDocument/2006/relationships/hyperlink" Target="https://www.bing.com/images/search?form=xlimg&amp;q=Priest%20River,%20Idaho" TargetMode="External"/><Relationship Id="rId33" Type="http://schemas.openxmlformats.org/officeDocument/2006/relationships/hyperlink" Target="https://www.bing.com/th?id=OSK.90dc6c271272d27bc6267da59174d036&amp;qlt=95" TargetMode="External"/><Relationship Id="rId129" Type="http://schemas.openxmlformats.org/officeDocument/2006/relationships/hyperlink" Target="https://www.bing.com/th?id=OSK.4624019e869a75da4231204d9daed604&amp;qlt=95" TargetMode="External"/><Relationship Id="rId280" Type="http://schemas.openxmlformats.org/officeDocument/2006/relationships/hyperlink" Target="https://www.bing.com/images/search?form=xlimg&amp;q=Visalia,%20California" TargetMode="External"/><Relationship Id="rId336" Type="http://schemas.openxmlformats.org/officeDocument/2006/relationships/hyperlink" Target="https://www.bing.com/images/search?form=xlimg&amp;q=Lakeview,%20Oregon" TargetMode="External"/><Relationship Id="rId75" Type="http://schemas.openxmlformats.org/officeDocument/2006/relationships/hyperlink" Target="https://www.bing.com/th?id=OSK.5986b819672d0e2999469538d4b95c02&amp;qlt=95" TargetMode="External"/><Relationship Id="rId140" Type="http://schemas.openxmlformats.org/officeDocument/2006/relationships/hyperlink" Target="https://www.bing.com/images/search?form=xlimg&amp;q=Madera,%20California" TargetMode="External"/><Relationship Id="rId182" Type="http://schemas.openxmlformats.org/officeDocument/2006/relationships/hyperlink" Target="https://www.bing.com/images/search?form=xlimg&amp;q=Paradise,%20California" TargetMode="External"/><Relationship Id="rId378" Type="http://schemas.openxmlformats.org/officeDocument/2006/relationships/hyperlink" Target="https://www.bing.com/images/search?form=xlimg&amp;q=Paradise,%20Nevada" TargetMode="External"/><Relationship Id="rId403" Type="http://schemas.openxmlformats.org/officeDocument/2006/relationships/hyperlink" Target="https://www.bing.com/th?id=OSK.b5a488bc008ef9c8bd8e35ffd876958c&amp;qlt=95" TargetMode="External"/><Relationship Id="rId6" Type="http://schemas.openxmlformats.org/officeDocument/2006/relationships/hyperlink" Target="https://www.bing.com/images/search?form=xlimg&amp;q=Antioch,%20California" TargetMode="External"/><Relationship Id="rId238" Type="http://schemas.openxmlformats.org/officeDocument/2006/relationships/hyperlink" Target="https://www.bing.com/images/search?form=xlimg&amp;q=Santa%20Rosa,%20California" TargetMode="External"/><Relationship Id="rId445" Type="http://schemas.openxmlformats.org/officeDocument/2006/relationships/hyperlink" Target="https://www.bing.com/th?id=OSK.8ec55c8f7f21f45fd7f5d8800d96afea&amp;qlt=95" TargetMode="External"/><Relationship Id="rId487" Type="http://schemas.openxmlformats.org/officeDocument/2006/relationships/hyperlink" Target="https://www.bing.com/th?id=OSK.8b587bd934ce925a5f914bb2c9ebfdd6&amp;qlt=95" TargetMode="External"/><Relationship Id="rId291" Type="http://schemas.openxmlformats.org/officeDocument/2006/relationships/hyperlink" Target="https://www.bing.com/th?id=OSK.b79716ff3a01c6826f54e1a9ac87c16e&amp;qlt=95" TargetMode="External"/><Relationship Id="rId305" Type="http://schemas.openxmlformats.org/officeDocument/2006/relationships/hyperlink" Target="https://www.bing.com/th?id=OSK.a200300d21f79b838b46b50ac197fb99&amp;qlt=95" TargetMode="External"/><Relationship Id="rId347" Type="http://schemas.openxmlformats.org/officeDocument/2006/relationships/hyperlink" Target="https://www.bing.com/th?id=OSK.290ad34c9b08804c46ac5d9f62607957&amp;qlt=95" TargetMode="External"/><Relationship Id="rId44" Type="http://schemas.openxmlformats.org/officeDocument/2006/relationships/hyperlink" Target="https://www.bing.com/images/search?form=xlimg&amp;q=Chino,%20California" TargetMode="External"/><Relationship Id="rId86" Type="http://schemas.openxmlformats.org/officeDocument/2006/relationships/hyperlink" Target="https://www.bing.com/images/search?form=xlimg&amp;q=Fort%20Bragg,%20California" TargetMode="External"/><Relationship Id="rId151" Type="http://schemas.openxmlformats.org/officeDocument/2006/relationships/hyperlink" Target="https://www.bing.com/th?id=OSK.79ac96f12c42a589fb52bafa71548a54&amp;qlt=95" TargetMode="External"/><Relationship Id="rId389" Type="http://schemas.openxmlformats.org/officeDocument/2006/relationships/hyperlink" Target="https://www.bing.com/th?id=OSK.be532154373ce8df8e95c9a57c2b21a2&amp;qlt=95" TargetMode="External"/><Relationship Id="rId193" Type="http://schemas.openxmlformats.org/officeDocument/2006/relationships/hyperlink" Target="https://www.bing.com/th?id=OSK.f1687c9602fc01c95aa6391d3d0df839&amp;qlt=95" TargetMode="External"/><Relationship Id="rId207" Type="http://schemas.openxmlformats.org/officeDocument/2006/relationships/hyperlink" Target="https://www.bing.com/th?id=OSK.27c4218c5694d1f12d879a01cd40a15b&amp;qlt=95" TargetMode="External"/><Relationship Id="rId249" Type="http://schemas.openxmlformats.org/officeDocument/2006/relationships/hyperlink" Target="https://www.bing.com/th?id=OSK.f4b595f623be2162b081c6ca1f53bc1d&amp;qlt=95" TargetMode="External"/><Relationship Id="rId414" Type="http://schemas.openxmlformats.org/officeDocument/2006/relationships/hyperlink" Target="https://www.bing.com/images/search?form=xlimg&amp;q=Kettle%20Falls,%20Washington" TargetMode="External"/><Relationship Id="rId456" Type="http://schemas.openxmlformats.org/officeDocument/2006/relationships/hyperlink" Target="https://www.bing.com/images/search?form=xlimg&amp;q=Bonners%20Ferry,%20Idaho" TargetMode="External"/><Relationship Id="rId498" Type="http://schemas.openxmlformats.org/officeDocument/2006/relationships/hyperlink" Target="https://www.bing.com/images/search?form=xlimg&amp;q=Tecate" TargetMode="External"/><Relationship Id="rId13" Type="http://schemas.openxmlformats.org/officeDocument/2006/relationships/hyperlink" Target="https://www.bing.com/th?id=OSK.139e756a3e5410fab9852d67ec99625c&amp;qlt=95" TargetMode="External"/><Relationship Id="rId109" Type="http://schemas.openxmlformats.org/officeDocument/2006/relationships/hyperlink" Target="https://www.bing.com/th?id=OSK.4c73049bcbe1727d1f064dcfc7c67daa&amp;qlt=95" TargetMode="External"/><Relationship Id="rId260" Type="http://schemas.openxmlformats.org/officeDocument/2006/relationships/hyperlink" Target="https://www.bing.com/images/search?form=xlimg&amp;q=Tracy,%20California" TargetMode="External"/><Relationship Id="rId316" Type="http://schemas.openxmlformats.org/officeDocument/2006/relationships/hyperlink" Target="https://www.bing.com/images/search?form=xlimg&amp;q=Brookings,%20Oregon" TargetMode="External"/><Relationship Id="rId55" Type="http://schemas.openxmlformats.org/officeDocument/2006/relationships/hyperlink" Target="https://www.bing.com/th?id=OSK.734d379a1a692069b1d5a2be86b2004d&amp;qlt=95" TargetMode="External"/><Relationship Id="rId97" Type="http://schemas.openxmlformats.org/officeDocument/2006/relationships/hyperlink" Target="https://www.bing.com/th?id=OSK.7041bb7336519c9363630ebd3f2413f6&amp;qlt=95" TargetMode="External"/><Relationship Id="rId120" Type="http://schemas.openxmlformats.org/officeDocument/2006/relationships/hyperlink" Target="https://www.bing.com/images/search?form=xlimg&amp;q=King%20City,%20California" TargetMode="External"/><Relationship Id="rId358" Type="http://schemas.openxmlformats.org/officeDocument/2006/relationships/hyperlink" Target="https://www.bing.com/images/search?form=xlimg&amp;q=Carson%20City,%20Nevada" TargetMode="External"/><Relationship Id="rId162" Type="http://schemas.openxmlformats.org/officeDocument/2006/relationships/hyperlink" Target="https://www.bing.com/images/search?form=xlimg&amp;q=Napa,%20California" TargetMode="External"/><Relationship Id="rId218" Type="http://schemas.openxmlformats.org/officeDocument/2006/relationships/hyperlink" Target="https://www.bing.com/images/search?form=xlimg&amp;q=San%20Jose,%20California" TargetMode="External"/><Relationship Id="rId425" Type="http://schemas.openxmlformats.org/officeDocument/2006/relationships/hyperlink" Target="https://www.bing.com/th?id=OSK.65fbd4d70aa33165fa22e19d2e3f79d3&amp;qlt=95" TargetMode="External"/><Relationship Id="rId467" Type="http://schemas.openxmlformats.org/officeDocument/2006/relationships/hyperlink" Target="https://www.bing.com/th?id=OSK.86d7242a8ff7c21836e21b33553faa48&amp;qlt=95" TargetMode="External"/><Relationship Id="rId271" Type="http://schemas.openxmlformats.org/officeDocument/2006/relationships/hyperlink" Target="https://www.bing.com/th?id=OSK.da0ecfc058c6d0209ea59538cfc13302&amp;qlt=95" TargetMode="External"/><Relationship Id="rId24" Type="http://schemas.openxmlformats.org/officeDocument/2006/relationships/hyperlink" Target="https://www.bing.com/images/search?form=xlimg&amp;q=Berkeley,%20California" TargetMode="External"/><Relationship Id="rId66" Type="http://schemas.openxmlformats.org/officeDocument/2006/relationships/hyperlink" Target="https://www.bing.com/images/search?form=xlimg&amp;q=Crescent%20Mills,%20California" TargetMode="External"/><Relationship Id="rId131" Type="http://schemas.openxmlformats.org/officeDocument/2006/relationships/hyperlink" Target="https://www.bing.com/th?id=OSK.dbb4bc3855d6a79dba36577a06abe9cc&amp;qlt=95" TargetMode="External"/><Relationship Id="rId327" Type="http://schemas.openxmlformats.org/officeDocument/2006/relationships/hyperlink" Target="https://www.bing.com/th?id=OSK.e2f6455936652994249c674a66f14bd7&amp;qlt=95" TargetMode="External"/><Relationship Id="rId369" Type="http://schemas.openxmlformats.org/officeDocument/2006/relationships/hyperlink" Target="https://www.bing.com/th?id=OSK.65c303f9cab18eb26098c28c3998913c&amp;qlt=95" TargetMode="External"/><Relationship Id="rId173" Type="http://schemas.openxmlformats.org/officeDocument/2006/relationships/hyperlink" Target="https://www.bing.com/th?id=OSK.2d95adcc99a114540ed03ce1a3e3c9dc&amp;qlt=95" TargetMode="External"/><Relationship Id="rId229" Type="http://schemas.openxmlformats.org/officeDocument/2006/relationships/hyperlink" Target="https://www.bing.com/th?id=OSK.9af8cc2679fb6c3bc79f9235e3c9f6c5&amp;qlt=95" TargetMode="External"/><Relationship Id="rId380" Type="http://schemas.openxmlformats.org/officeDocument/2006/relationships/hyperlink" Target="https://www.bing.com/images/search?form=xlimg&amp;q=Reno,%20Nevada" TargetMode="External"/><Relationship Id="rId436" Type="http://schemas.openxmlformats.org/officeDocument/2006/relationships/hyperlink" Target="https://www.bing.com/images/search?form=xlimg&amp;q=Seattle" TargetMode="External"/><Relationship Id="rId240" Type="http://schemas.openxmlformats.org/officeDocument/2006/relationships/hyperlink" Target="https://www.bing.com/images/search?form=xlimg&amp;q=Simi%20Valley,%20California" TargetMode="External"/><Relationship Id="rId478" Type="http://schemas.openxmlformats.org/officeDocument/2006/relationships/hyperlink" Target="https://www.bing.com/images/search?form=xlimg&amp;q=Sandpoint,%20Idaho" TargetMode="External"/><Relationship Id="rId35" Type="http://schemas.openxmlformats.org/officeDocument/2006/relationships/hyperlink" Target="https://www.bing.com/th?id=OSK.93e811af0cd7c10adcb847c31f329dcc&amp;qlt=95" TargetMode="External"/><Relationship Id="rId77" Type="http://schemas.openxmlformats.org/officeDocument/2006/relationships/hyperlink" Target="https://www.bing.com/th?id=OSK.64e664d08f4d13e108f1ea21c705d063&amp;qlt=95" TargetMode="External"/><Relationship Id="rId100" Type="http://schemas.openxmlformats.org/officeDocument/2006/relationships/hyperlink" Target="https://www.bing.com/images/search?form=xlimg&amp;q=San%20Mateo%20County,%20California" TargetMode="External"/><Relationship Id="rId282" Type="http://schemas.openxmlformats.org/officeDocument/2006/relationships/hyperlink" Target="https://www.bing.com/images/search?form=xlimg&amp;q=Walnut%20Creek,%20California" TargetMode="External"/><Relationship Id="rId338" Type="http://schemas.openxmlformats.org/officeDocument/2006/relationships/hyperlink" Target="https://www.bing.com/images/search?form=xlimg&amp;q=Lincoln%20City,%20Oregon" TargetMode="External"/><Relationship Id="rId8" Type="http://schemas.openxmlformats.org/officeDocument/2006/relationships/hyperlink" Target="https://www.bing.com/images/search?form=xlimg&amp;q=Arbuckle,%20California" TargetMode="External"/><Relationship Id="rId142" Type="http://schemas.openxmlformats.org/officeDocument/2006/relationships/hyperlink" Target="https://www.bing.com/images/search?form=xlimg&amp;q=Mariposa,%20California" TargetMode="External"/><Relationship Id="rId184" Type="http://schemas.openxmlformats.org/officeDocument/2006/relationships/hyperlink" Target="https://www.bing.com/images/search?form=xlimg&amp;q=Pasadena,%20California" TargetMode="External"/><Relationship Id="rId391" Type="http://schemas.openxmlformats.org/officeDocument/2006/relationships/hyperlink" Target="https://www.bing.com/th?id=OSK.190e546dd222a4a22297155960f0023a&amp;qlt=95" TargetMode="External"/><Relationship Id="rId405" Type="http://schemas.openxmlformats.org/officeDocument/2006/relationships/hyperlink" Target="https://www.bing.com/th?id=OSK.f1f7b3aeb9e468f2f8bb98c56ae075c8&amp;qlt=95" TargetMode="External"/><Relationship Id="rId447" Type="http://schemas.openxmlformats.org/officeDocument/2006/relationships/hyperlink" Target="https://www.bing.com/th?id=OSK.af0085d3fe33bf6a1d494767aeb4156d&amp;qlt=95" TargetMode="External"/><Relationship Id="rId251" Type="http://schemas.openxmlformats.org/officeDocument/2006/relationships/hyperlink" Target="https://www.bing.com/th?id=OSK.1d579c5b8a1b72abc497955cfbc54e82&amp;qlt=95" TargetMode="External"/><Relationship Id="rId489" Type="http://schemas.openxmlformats.org/officeDocument/2006/relationships/hyperlink" Target="https://www.bing.com/th?id=OSK.71cf50fa135f467396e34124a78a0d3e&amp;qlt=95" TargetMode="External"/><Relationship Id="rId46" Type="http://schemas.openxmlformats.org/officeDocument/2006/relationships/hyperlink" Target="https://www.bing.com/images/search?form=xlimg&amp;q=Chowchilla,%20California" TargetMode="External"/><Relationship Id="rId293" Type="http://schemas.openxmlformats.org/officeDocument/2006/relationships/hyperlink" Target="https://www.bing.com/th?id=OSK.e1c580fcf19b85499c1d099f150344a4&amp;qlt=95" TargetMode="External"/><Relationship Id="rId307" Type="http://schemas.openxmlformats.org/officeDocument/2006/relationships/hyperlink" Target="https://www.bing.com/th?id=OSK.af569396f82b5b51e9b28ce7b023215e&amp;qlt=95" TargetMode="External"/><Relationship Id="rId349" Type="http://schemas.openxmlformats.org/officeDocument/2006/relationships/hyperlink" Target="https://www.bing.com/th?id=OSK.XeRORD8THDWCwk5eOLDVIRP907U9xmfjYm732T8tnKE&amp;qlt=95" TargetMode="External"/><Relationship Id="rId88" Type="http://schemas.openxmlformats.org/officeDocument/2006/relationships/hyperlink" Target="https://www.bing.com/images/search?form=xlimg&amp;q=Fremont,%20California" TargetMode="External"/><Relationship Id="rId111" Type="http://schemas.openxmlformats.org/officeDocument/2006/relationships/hyperlink" Target="https://www.bing.com/th?id=OSK.30430c84ed82c2a2142314945e14db2e&amp;qlt=95" TargetMode="External"/><Relationship Id="rId153" Type="http://schemas.openxmlformats.org/officeDocument/2006/relationships/hyperlink" Target="https://www.bing.com/th?id=OSK.4e094a0c2fe602b90b81b609da8978c6&amp;qlt=95" TargetMode="External"/><Relationship Id="rId195" Type="http://schemas.openxmlformats.org/officeDocument/2006/relationships/hyperlink" Target="https://www.bing.com/th?id=OSK.6ed6b85c460042f2c6410474f06c662a&amp;qlt=95" TargetMode="External"/><Relationship Id="rId209" Type="http://schemas.openxmlformats.org/officeDocument/2006/relationships/hyperlink" Target="https://www.bing.com/th?id=OSK.888e56b1e53dce1da031839f8f03d4dd&amp;qlt=95" TargetMode="External"/><Relationship Id="rId360" Type="http://schemas.openxmlformats.org/officeDocument/2006/relationships/hyperlink" Target="https://www.bing.com/images/search?form=xlimg&amp;q=Elko,%20Nevada" TargetMode="External"/><Relationship Id="rId416" Type="http://schemas.openxmlformats.org/officeDocument/2006/relationships/hyperlink" Target="https://www.bing.com/images/search?form=xlimg&amp;q=Kirkland,%20Washington" TargetMode="External"/><Relationship Id="rId220" Type="http://schemas.openxmlformats.org/officeDocument/2006/relationships/hyperlink" Target="https://www.bing.com/images/search?form=xlimg&amp;q=San%20Luis%20Obispo,%20California" TargetMode="External"/><Relationship Id="rId458" Type="http://schemas.openxmlformats.org/officeDocument/2006/relationships/hyperlink" Target="https://www.bing.com/images/search?form=xlimg&amp;q=Coeur%20d'Alene,%20Idaho" TargetMode="External"/><Relationship Id="rId15" Type="http://schemas.openxmlformats.org/officeDocument/2006/relationships/hyperlink" Target="https://www.bing.com/th?id=OSK.e197c006fb3f3204de6fb084145b0be8&amp;qlt=95" TargetMode="External"/><Relationship Id="rId57" Type="http://schemas.openxmlformats.org/officeDocument/2006/relationships/hyperlink" Target="https://www.bing.com/th?id=OSK.58e6bd7461f4e167123cf4f4ba3f590b&amp;qlt=95" TargetMode="External"/><Relationship Id="rId262" Type="http://schemas.openxmlformats.org/officeDocument/2006/relationships/hyperlink" Target="https://www.bing.com/images/search?form=xlimg&amp;q=Truckee,%20California" TargetMode="External"/><Relationship Id="rId318" Type="http://schemas.openxmlformats.org/officeDocument/2006/relationships/hyperlink" Target="https://www.bing.com/images/search?form=xlimg&amp;q=Burns,%20Oregon" TargetMode="External"/><Relationship Id="rId99" Type="http://schemas.openxmlformats.org/officeDocument/2006/relationships/hyperlink" Target="https://www.bing.com/th?id=OSK.72e9d822a14b9b0036187a25869fb34d&amp;qlt=95" TargetMode="External"/><Relationship Id="rId122" Type="http://schemas.openxmlformats.org/officeDocument/2006/relationships/hyperlink" Target="https://www.bing.com/images/search?form=xlimg&amp;q=Lakeport,%20California" TargetMode="External"/><Relationship Id="rId164" Type="http://schemas.openxmlformats.org/officeDocument/2006/relationships/hyperlink" Target="https://www.bing.com/images/search?form=xlimg&amp;q=Oakhurst,%20California" TargetMode="External"/><Relationship Id="rId371" Type="http://schemas.openxmlformats.org/officeDocument/2006/relationships/hyperlink" Target="https://www.bing.com/th?id=OSK.5629a0225474fcfe0668a82fe7f46256&amp;qlt=95" TargetMode="External"/><Relationship Id="rId427" Type="http://schemas.openxmlformats.org/officeDocument/2006/relationships/hyperlink" Target="https://www.bing.com/th?id=OSK.b801fdf29730bf0b467f3d16d5019489&amp;qlt=95" TargetMode="External"/><Relationship Id="rId469" Type="http://schemas.openxmlformats.org/officeDocument/2006/relationships/hyperlink" Target="https://www.bing.com/th?id=OSK.ce3637a423b49b1214e09b46a55d821a&amp;qlt=95" TargetMode="External"/><Relationship Id="rId26" Type="http://schemas.openxmlformats.org/officeDocument/2006/relationships/hyperlink" Target="https://www.bing.com/images/search?form=xlimg&amp;q=Big%20Pine,%20California" TargetMode="External"/><Relationship Id="rId231" Type="http://schemas.openxmlformats.org/officeDocument/2006/relationships/hyperlink" Target="https://www.bing.com/th?id=OSK.1d68909df9df99f433f0cb07ad211c3b&amp;qlt=95" TargetMode="External"/><Relationship Id="rId273" Type="http://schemas.openxmlformats.org/officeDocument/2006/relationships/hyperlink" Target="https://www.bing.com/th?id=OSK.9ca4079f69ac0f788bb93a1a1cb8d790&amp;qlt=95" TargetMode="External"/><Relationship Id="rId329" Type="http://schemas.openxmlformats.org/officeDocument/2006/relationships/hyperlink" Target="https://www.bing.com/th?id=OSK.1d2dd034e940263707d3e6fd69142141&amp;qlt=95" TargetMode="External"/><Relationship Id="rId480" Type="http://schemas.openxmlformats.org/officeDocument/2006/relationships/hyperlink" Target="https://www.bing.com/images/search?form=xlimg&amp;q=Worley,%20Idaho" TargetMode="External"/><Relationship Id="rId68" Type="http://schemas.openxmlformats.org/officeDocument/2006/relationships/hyperlink" Target="https://www.bing.com/images/search?form=xlimg&amp;q=Davis,%20California" TargetMode="External"/><Relationship Id="rId133" Type="http://schemas.openxmlformats.org/officeDocument/2006/relationships/hyperlink" Target="https://www.bing.com/th?id=OSK.39c49ed53d01dec81887aeaf8f60f7bc&amp;qlt=95" TargetMode="External"/><Relationship Id="rId175" Type="http://schemas.openxmlformats.org/officeDocument/2006/relationships/hyperlink" Target="https://www.bing.com/th?id=OSK.9eb71ecb754e7dca8c73c483019f3fdb&amp;qlt=95" TargetMode="External"/><Relationship Id="rId340" Type="http://schemas.openxmlformats.org/officeDocument/2006/relationships/hyperlink" Target="https://www.bing.com/images/search?form=xlimg&amp;q=Medford,%20Oregon" TargetMode="External"/><Relationship Id="rId200" Type="http://schemas.openxmlformats.org/officeDocument/2006/relationships/hyperlink" Target="https://www.bing.com/images/search?form=xlimg&amp;q=Richmond,%20California" TargetMode="External"/><Relationship Id="rId382" Type="http://schemas.openxmlformats.org/officeDocument/2006/relationships/hyperlink" Target="https://www.bing.com/images/search?form=xlimg&amp;q=Sparks,%20Nevada" TargetMode="External"/><Relationship Id="rId438" Type="http://schemas.openxmlformats.org/officeDocument/2006/relationships/hyperlink" Target="https://www.bing.com/images/search?form=xlimg&amp;q=Sequim,%20Washington" TargetMode="External"/><Relationship Id="rId242" Type="http://schemas.openxmlformats.org/officeDocument/2006/relationships/hyperlink" Target="https://www.bing.com/images/search?form=xlimg&amp;q=Soledad,%20California" TargetMode="External"/><Relationship Id="rId284" Type="http://schemas.openxmlformats.org/officeDocument/2006/relationships/hyperlink" Target="https://www.bing.com/images/search?form=xlimg&amp;q=Weed,%20California" TargetMode="External"/><Relationship Id="rId491" Type="http://schemas.openxmlformats.org/officeDocument/2006/relationships/hyperlink" Target="https://www.bing.com/th?id=OSK.875ba31dc96a8af0098d67e46cac00ee&amp;qlt=95" TargetMode="External"/><Relationship Id="rId37" Type="http://schemas.openxmlformats.org/officeDocument/2006/relationships/hyperlink" Target="https://www.bing.com/th?id=OSK.2770a27e7a7b2a1e023dfc0ec24400dd&amp;qlt=95" TargetMode="External"/><Relationship Id="rId79" Type="http://schemas.openxmlformats.org/officeDocument/2006/relationships/hyperlink" Target="https://www.bing.com/th?id=OSK.0695590b5d24a1b5d0a039975131ff8f&amp;qlt=95" TargetMode="External"/><Relationship Id="rId102" Type="http://schemas.openxmlformats.org/officeDocument/2006/relationships/hyperlink" Target="https://www.bing.com/images/search?form=xlimg&amp;q=Hanford,%20California" TargetMode="External"/><Relationship Id="rId144" Type="http://schemas.openxmlformats.org/officeDocument/2006/relationships/hyperlink" Target="https://www.bing.com/images/search?form=xlimg&amp;q=Mariposa%20County,%20California" TargetMode="External"/><Relationship Id="rId90" Type="http://schemas.openxmlformats.org/officeDocument/2006/relationships/hyperlink" Target="https://www.bing.com/images/search?form=xlimg&amp;q=Fresno,%20California" TargetMode="External"/><Relationship Id="rId186" Type="http://schemas.openxmlformats.org/officeDocument/2006/relationships/hyperlink" Target="https://www.bing.com/images/search?form=xlimg&amp;q=Paso%20Robles,%20California" TargetMode="External"/><Relationship Id="rId351" Type="http://schemas.openxmlformats.org/officeDocument/2006/relationships/hyperlink" Target="https://www.bing.com/th?id=OSK.d1f92c28fd8431b4ae97c8be7fdc62ad&amp;qlt=95" TargetMode="External"/><Relationship Id="rId393" Type="http://schemas.openxmlformats.org/officeDocument/2006/relationships/hyperlink" Target="https://www.bing.com/th?id=OSK.c40aeb522478fb0c4aa23bc6eb882cb4&amp;qlt=95" TargetMode="External"/><Relationship Id="rId407" Type="http://schemas.openxmlformats.org/officeDocument/2006/relationships/hyperlink" Target="https://www.bing.com/th?id=OSK.hl7uEgu3nhfysz_cFANsfqzpQC2u4nPznlNu7zzilEE&amp;qlt=95" TargetMode="External"/><Relationship Id="rId449" Type="http://schemas.openxmlformats.org/officeDocument/2006/relationships/hyperlink" Target="https://www.bing.com/th?id=OSK.8be0f7ad795de698c18448d8cff26c96&amp;qlt=95" TargetMode="External"/><Relationship Id="rId211" Type="http://schemas.openxmlformats.org/officeDocument/2006/relationships/hyperlink" Target="https://www.bing.com/th?id=OSK.f4a056248ad39883cce18fea1bc3e739&amp;qlt=95" TargetMode="External"/><Relationship Id="rId253" Type="http://schemas.openxmlformats.org/officeDocument/2006/relationships/hyperlink" Target="https://www.bing.com/th?id=OSK.819e4c488698e71234a842cab504c39b&amp;qlt=95" TargetMode="External"/><Relationship Id="rId295" Type="http://schemas.openxmlformats.org/officeDocument/2006/relationships/hyperlink" Target="https://www.bing.com/th?id=OSK.4c4adc9d207215f85776b8e4bfa18096&amp;qlt=95" TargetMode="External"/><Relationship Id="rId309" Type="http://schemas.openxmlformats.org/officeDocument/2006/relationships/hyperlink" Target="https://www.bing.com/th?id=OSK.2e7c83b74a6f10b027d977e5193a1afe&amp;qlt=95" TargetMode="External"/><Relationship Id="rId460" Type="http://schemas.openxmlformats.org/officeDocument/2006/relationships/hyperlink" Target="https://www.bing.com/images/search?form=xlimg&amp;q=Grangeville,%20Idaho" TargetMode="External"/><Relationship Id="rId48" Type="http://schemas.openxmlformats.org/officeDocument/2006/relationships/hyperlink" Target="https://www.bing.com/images/search?form=xlimg&amp;q=Chula%20Vista,%20California" TargetMode="External"/><Relationship Id="rId113" Type="http://schemas.openxmlformats.org/officeDocument/2006/relationships/hyperlink" Target="https://www.bing.com/th?id=OSK.9705253583731db4ccc6b0190a653c92&amp;qlt=95" TargetMode="External"/><Relationship Id="rId320" Type="http://schemas.openxmlformats.org/officeDocument/2006/relationships/hyperlink" Target="https://www.bing.com/images/search?form=xlimg&amp;q=Coos%20Bay,%20Oregon" TargetMode="External"/><Relationship Id="rId155" Type="http://schemas.openxmlformats.org/officeDocument/2006/relationships/hyperlink" Target="https://www.bing.com/th?id=OSK.1c43b51b77b73e69bd7b261514280782&amp;qlt=95" TargetMode="External"/><Relationship Id="rId197" Type="http://schemas.openxmlformats.org/officeDocument/2006/relationships/hyperlink" Target="https://www.bing.com/th?id=OSK.01a548aa2c2c407d8d2e665264547302&amp;qlt=95" TargetMode="External"/><Relationship Id="rId362" Type="http://schemas.openxmlformats.org/officeDocument/2006/relationships/hyperlink" Target="https://www.bing.com/images/search?form=xlimg&amp;q=Ely,%20Nevada" TargetMode="External"/><Relationship Id="rId418" Type="http://schemas.openxmlformats.org/officeDocument/2006/relationships/hyperlink" Target="https://www.bing.com/images/search?form=xlimg&amp;q=Leavenworth,%20Washington" TargetMode="External"/><Relationship Id="rId222" Type="http://schemas.openxmlformats.org/officeDocument/2006/relationships/hyperlink" Target="https://www.bing.com/images/search?form=xlimg&amp;q=San%20Mateo,%20California" TargetMode="External"/><Relationship Id="rId264" Type="http://schemas.openxmlformats.org/officeDocument/2006/relationships/hyperlink" Target="https://www.bing.com/images/search?form=xlimg&amp;q=Tulare,%20California" TargetMode="External"/><Relationship Id="rId471" Type="http://schemas.openxmlformats.org/officeDocument/2006/relationships/hyperlink" Target="https://www.bing.com/th?id=OSK.2d40aa77453b32183105a4b69213a636&amp;qlt=95" TargetMode="External"/><Relationship Id="rId17" Type="http://schemas.openxmlformats.org/officeDocument/2006/relationships/hyperlink" Target="https://www.bing.com/th?id=OSK.820cca859dfa7bc523b0a22fa2549028&amp;qlt=95" TargetMode="External"/><Relationship Id="rId59" Type="http://schemas.openxmlformats.org/officeDocument/2006/relationships/hyperlink" Target="https://www.bing.com/th?id=OSK.f4d298fc0562d8ba75841345d0343114&amp;qlt=95" TargetMode="External"/><Relationship Id="rId124" Type="http://schemas.openxmlformats.org/officeDocument/2006/relationships/hyperlink" Target="https://www.bing.com/images/search?form=xlimg&amp;q=Lancaster,%20California" TargetMode="External"/><Relationship Id="rId70" Type="http://schemas.openxmlformats.org/officeDocument/2006/relationships/hyperlink" Target="https://www.bing.com/images/search?form=xlimg&amp;q=Downey,%20California" TargetMode="External"/><Relationship Id="rId166" Type="http://schemas.openxmlformats.org/officeDocument/2006/relationships/hyperlink" Target="https://www.bing.com/images/search?form=xlimg&amp;q=Oakland,%20California" TargetMode="External"/><Relationship Id="rId331" Type="http://schemas.openxmlformats.org/officeDocument/2006/relationships/hyperlink" Target="https://www.bing.com/th?id=OSK.0b9e9f341719ac776d375ea0063877b3&amp;qlt=95" TargetMode="External"/><Relationship Id="rId373" Type="http://schemas.openxmlformats.org/officeDocument/2006/relationships/hyperlink" Target="https://www.bing.com/th?id=OSK.3466660f504d5931694676ca1b9dc609&amp;qlt=95" TargetMode="External"/><Relationship Id="rId429" Type="http://schemas.openxmlformats.org/officeDocument/2006/relationships/hyperlink" Target="https://www.bing.com/th?id=OSK.fef6896c2e98fafc4b4752aa5c288b4c&amp;qlt=95" TargetMode="External"/><Relationship Id="rId1" Type="http://schemas.openxmlformats.org/officeDocument/2006/relationships/hyperlink" Target="https://www.bing.com/th?id=OSK.d282366e489a44b5a25b08a4be1a4806&amp;qlt=95" TargetMode="External"/><Relationship Id="rId233" Type="http://schemas.openxmlformats.org/officeDocument/2006/relationships/hyperlink" Target="https://www.bing.com/th?id=OSK.ead9df5d38e7590850423b12e27e7685&amp;qlt=95" TargetMode="External"/><Relationship Id="rId440" Type="http://schemas.openxmlformats.org/officeDocument/2006/relationships/hyperlink" Target="https://www.bing.com/images/search?form=xlimg&amp;q=Spokane,%20Washington" TargetMode="External"/><Relationship Id="rId28" Type="http://schemas.openxmlformats.org/officeDocument/2006/relationships/hyperlink" Target="https://www.bing.com/images/search?form=xlimg&amp;q=Bishop,%20California" TargetMode="External"/><Relationship Id="rId275" Type="http://schemas.openxmlformats.org/officeDocument/2006/relationships/hyperlink" Target="https://www.bing.com/th?id=OSK.1bfd9c73f0882dabacfecef8559e70b5&amp;qlt=95" TargetMode="External"/><Relationship Id="rId300" Type="http://schemas.openxmlformats.org/officeDocument/2006/relationships/hyperlink" Target="https://www.bing.com/images/search?form=xlimg&amp;q=Yucaipa,%20California" TargetMode="External"/><Relationship Id="rId482" Type="http://schemas.openxmlformats.org/officeDocument/2006/relationships/hyperlink" Target="https://www.bing.com/images/search?form=xlimg&amp;q=Duncan,%20British%20Columbia" TargetMode="External"/><Relationship Id="rId81" Type="http://schemas.openxmlformats.org/officeDocument/2006/relationships/hyperlink" Target="https://www.bing.com/th?id=OSK.xmGLvP3rEGsgZCEW8Vk9SHblDgECklIojDMpg1CPOe8&amp;qlt=95" TargetMode="External"/><Relationship Id="rId135" Type="http://schemas.openxmlformats.org/officeDocument/2006/relationships/hyperlink" Target="https://www.bing.com/th?id=OSK.58ac448972c6ab144b54e831a714990d&amp;qlt=95" TargetMode="External"/><Relationship Id="rId177" Type="http://schemas.openxmlformats.org/officeDocument/2006/relationships/hyperlink" Target="https://www.bing.com/th?id=OSK.d0d556bb937193744b1319f2755dd107&amp;qlt=95" TargetMode="External"/><Relationship Id="rId342" Type="http://schemas.openxmlformats.org/officeDocument/2006/relationships/hyperlink" Target="https://www.bing.com/images/search?form=xlimg&amp;q=Newport,%20Oregon" TargetMode="External"/><Relationship Id="rId384" Type="http://schemas.openxmlformats.org/officeDocument/2006/relationships/hyperlink" Target="https://www.bing.com/images/search?form=xlimg&amp;q=Spring%20Valley,%20Nevada" TargetMode="External"/><Relationship Id="rId202" Type="http://schemas.openxmlformats.org/officeDocument/2006/relationships/hyperlink" Target="https://www.bing.com/images/search?form=xlimg&amp;q=Ridgecrest,%20California" TargetMode="External"/><Relationship Id="rId244" Type="http://schemas.openxmlformats.org/officeDocument/2006/relationships/hyperlink" Target="https://www.bing.com/images/search?form=xlimg&amp;q=Sonora,%20California" TargetMode="External"/><Relationship Id="rId39" Type="http://schemas.openxmlformats.org/officeDocument/2006/relationships/hyperlink" Target="https://www.bing.com/th?id=OSK.3aafde3dd66ec9394e1aed23f4686be6&amp;qlt=95" TargetMode="External"/><Relationship Id="rId286" Type="http://schemas.openxmlformats.org/officeDocument/2006/relationships/hyperlink" Target="https://www.bing.com/images/search?form=xlimg&amp;q=West%20Covina,%20California" TargetMode="External"/><Relationship Id="rId451" Type="http://schemas.openxmlformats.org/officeDocument/2006/relationships/hyperlink" Target="https://www.bing.com/th?id=OSK.7c196382820099a0a5381ab8405f6986&amp;qlt=95" TargetMode="External"/><Relationship Id="rId493" Type="http://schemas.openxmlformats.org/officeDocument/2006/relationships/hyperlink" Target="https://www.bing.com/th?id=OSK.049b157722eac2165584edd7da3755e3&amp;qlt=95" TargetMode="External"/><Relationship Id="rId50" Type="http://schemas.openxmlformats.org/officeDocument/2006/relationships/hyperlink" Target="https://www.bing.com/images/search?form=xlimg&amp;q=Clearlake,%20California" TargetMode="External"/><Relationship Id="rId104" Type="http://schemas.openxmlformats.org/officeDocument/2006/relationships/hyperlink" Target="https://www.bing.com/images/search?form=xlimg&amp;q=Hayward,%20California" TargetMode="External"/><Relationship Id="rId146" Type="http://schemas.openxmlformats.org/officeDocument/2006/relationships/hyperlink" Target="https://www.bing.com/images/search?form=xlimg&amp;q=Maxwell,%20California" TargetMode="External"/><Relationship Id="rId188" Type="http://schemas.openxmlformats.org/officeDocument/2006/relationships/hyperlink" Target="https://www.bing.com/images/search?form=xlimg&amp;q=Pismo%20Beach,%20California" TargetMode="External"/><Relationship Id="rId311" Type="http://schemas.openxmlformats.org/officeDocument/2006/relationships/hyperlink" Target="https://www.bing.com/th?id=OSK.06e38a7968cd3f1ca7a576e7e972fcbd&amp;qlt=95" TargetMode="External"/><Relationship Id="rId353" Type="http://schemas.openxmlformats.org/officeDocument/2006/relationships/hyperlink" Target="https://www.bing.com/th?id=OSK.8da40cb28e095f8c1c743ca9867c365a&amp;qlt=95" TargetMode="External"/><Relationship Id="rId395" Type="http://schemas.openxmlformats.org/officeDocument/2006/relationships/hyperlink" Target="https://www.bing.com/th?id=OSK.e3f91b780dbe7f7c4e5ed8a54cbc71d9&amp;qlt=95" TargetMode="External"/><Relationship Id="rId409" Type="http://schemas.openxmlformats.org/officeDocument/2006/relationships/hyperlink" Target="https://www.bing.com/th?id=OSK.6f8f6e226a8e8b44bca6216843f157c2&amp;qlt=95" TargetMode="External"/><Relationship Id="rId92" Type="http://schemas.openxmlformats.org/officeDocument/2006/relationships/hyperlink" Target="https://www.bing.com/images/search?form=xlimg&amp;q=Furnace%20Creek,%20California" TargetMode="External"/><Relationship Id="rId213" Type="http://schemas.openxmlformats.org/officeDocument/2006/relationships/hyperlink" Target="https://www.bing.com/th?id=OSK.41d6533bb269213fdda41515376d514d&amp;qlt=95" TargetMode="External"/><Relationship Id="rId420" Type="http://schemas.openxmlformats.org/officeDocument/2006/relationships/hyperlink" Target="https://www.bing.com/images/search?form=xlimg&amp;q=Longview,%20Washington" TargetMode="External"/><Relationship Id="rId255" Type="http://schemas.openxmlformats.org/officeDocument/2006/relationships/hyperlink" Target="https://www.bing.com/th?id=OSK.434d303893b8acd688e34e12e7f49eb5&amp;qlt=95" TargetMode="External"/><Relationship Id="rId297" Type="http://schemas.openxmlformats.org/officeDocument/2006/relationships/hyperlink" Target="https://www.bing.com/th?id=OSK.40790533c66a9555760381e20c6e6fe1&amp;qlt=95" TargetMode="External"/><Relationship Id="rId462" Type="http://schemas.openxmlformats.org/officeDocument/2006/relationships/hyperlink" Target="https://www.bing.com/images/search?form=xlimg&amp;q=Kellogg,%20Idaho" TargetMode="External"/><Relationship Id="rId115" Type="http://schemas.openxmlformats.org/officeDocument/2006/relationships/hyperlink" Target="https://www.bing.com/th?id=OSK.0642fe82b9256202edc45876421721d8&amp;qlt=95" TargetMode="External"/><Relationship Id="rId157" Type="http://schemas.openxmlformats.org/officeDocument/2006/relationships/hyperlink" Target="https://www.bing.com/th?id=OSK.fa36ad6f81ee498f5d7cb9e724bbef0b&amp;qlt=95" TargetMode="External"/><Relationship Id="rId322" Type="http://schemas.openxmlformats.org/officeDocument/2006/relationships/hyperlink" Target="https://www.bing.com/images/search?form=xlimg&amp;q=Corvallis,%20Oregon" TargetMode="External"/><Relationship Id="rId364" Type="http://schemas.openxmlformats.org/officeDocument/2006/relationships/hyperlink" Target="https://www.bing.com/images/search?form=xlimg&amp;q=Eureka,%20Nevada" TargetMode="External"/><Relationship Id="rId61" Type="http://schemas.openxmlformats.org/officeDocument/2006/relationships/hyperlink" Target="https://www.bing.com/th?id=OSK.Hv2x0TeALqOWpg92fz_xupR4vbZO-6tQw5j6nbnOO_k&amp;qlt=95" TargetMode="External"/><Relationship Id="rId199" Type="http://schemas.openxmlformats.org/officeDocument/2006/relationships/hyperlink" Target="https://www.bing.com/th?id=OSK.6f31424b37bc51763d8a5b5a262ecd75&amp;qlt=95" TargetMode="External"/><Relationship Id="rId19" Type="http://schemas.openxmlformats.org/officeDocument/2006/relationships/hyperlink" Target="https://www.bing.com/th?id=OSK.78eee2665841fd66f290cd267f486aa3&amp;qlt=95" TargetMode="External"/><Relationship Id="rId224" Type="http://schemas.openxmlformats.org/officeDocument/2006/relationships/hyperlink" Target="https://www.bing.com/images/search?form=xlimg&amp;q=San%20Rafael,%20California" TargetMode="External"/><Relationship Id="rId266" Type="http://schemas.openxmlformats.org/officeDocument/2006/relationships/hyperlink" Target="https://www.bing.com/images/search?form=xlimg&amp;q=Turlock,%20California" TargetMode="External"/><Relationship Id="rId431" Type="http://schemas.openxmlformats.org/officeDocument/2006/relationships/hyperlink" Target="https://www.bing.com/th?id=OSK.cf502052121982496303d5b3bf2881d2&amp;qlt=95" TargetMode="External"/><Relationship Id="rId473" Type="http://schemas.openxmlformats.org/officeDocument/2006/relationships/hyperlink" Target="https://www.bing.com/th?id=OSK.7600e94742b6eec2278ff70127b8228e&amp;qlt=95" TargetMode="External"/><Relationship Id="rId30" Type="http://schemas.openxmlformats.org/officeDocument/2006/relationships/hyperlink" Target="https://www.bing.com/images/search?form=xlimg&amp;q=Bodega%20Bay,%20California" TargetMode="External"/><Relationship Id="rId126" Type="http://schemas.openxmlformats.org/officeDocument/2006/relationships/hyperlink" Target="https://www.bing.com/images/search?form=xlimg&amp;q=Livermore,%20California" TargetMode="External"/><Relationship Id="rId168" Type="http://schemas.openxmlformats.org/officeDocument/2006/relationships/hyperlink" Target="https://www.bing.com/images/search?form=xlimg&amp;q=Oceanside,%20California" TargetMode="External"/><Relationship Id="rId333" Type="http://schemas.openxmlformats.org/officeDocument/2006/relationships/hyperlink" Target="https://www.bing.com/th?id=OSK.230e14c2dd7b2ff2205e04be0e6f02bd&amp;qlt=95" TargetMode="External"/><Relationship Id="rId72" Type="http://schemas.openxmlformats.org/officeDocument/2006/relationships/hyperlink" Target="https://www.bing.com/images/search?form=xlimg&amp;q=El%20Cajon,%20California" TargetMode="External"/><Relationship Id="rId375" Type="http://schemas.openxmlformats.org/officeDocument/2006/relationships/hyperlink" Target="https://www.bing.com/th?id=OSK.d7ccaff91acb922d1780c49a5e882565&amp;qlt=95" TargetMode="External"/><Relationship Id="rId3" Type="http://schemas.openxmlformats.org/officeDocument/2006/relationships/hyperlink" Target="https://www.bing.com/th?id=OSK.b32a69c2e4ce46fbafb11c76c10c9192&amp;qlt=95" TargetMode="External"/><Relationship Id="rId235" Type="http://schemas.openxmlformats.org/officeDocument/2006/relationships/hyperlink" Target="https://www.bing.com/th?id=OSK.e1c34ff1dbbb31840b065b1a101f1985&amp;qlt=95" TargetMode="External"/><Relationship Id="rId277" Type="http://schemas.openxmlformats.org/officeDocument/2006/relationships/hyperlink" Target="https://www.bing.com/th?id=OSK.99f1bf181567d239d7852aca9ee901ab&amp;qlt=95" TargetMode="External"/><Relationship Id="rId400" Type="http://schemas.openxmlformats.org/officeDocument/2006/relationships/hyperlink" Target="https://www.bing.com/images/search?form=xlimg&amp;q=Colville,%20Washington" TargetMode="External"/><Relationship Id="rId442" Type="http://schemas.openxmlformats.org/officeDocument/2006/relationships/hyperlink" Target="https://www.bing.com/images/search?form=xlimg&amp;q=Tacoma,%20Washington" TargetMode="External"/><Relationship Id="rId484" Type="http://schemas.openxmlformats.org/officeDocument/2006/relationships/hyperlink" Target="https://www.bing.com/images/search?form=xlimg&amp;q=Sooke" TargetMode="External"/><Relationship Id="rId137" Type="http://schemas.openxmlformats.org/officeDocument/2006/relationships/hyperlink" Target="https://www.bing.com/th?id=OSK.475fd10637abd60e0a0028587d2abeef&amp;qlt=95" TargetMode="External"/><Relationship Id="rId302" Type="http://schemas.openxmlformats.org/officeDocument/2006/relationships/hyperlink" Target="https://www.bing.com/images/search?form=xlimg&amp;q=Albany,%20Oregon" TargetMode="External"/><Relationship Id="rId344" Type="http://schemas.openxmlformats.org/officeDocument/2006/relationships/hyperlink" Target="https://www.bing.com/images/search?form=xlimg&amp;q=Ontario,%20Oregon" TargetMode="External"/><Relationship Id="rId41" Type="http://schemas.openxmlformats.org/officeDocument/2006/relationships/hyperlink" Target="https://www.bing.com/th?id=OSK.JRsynmOWSUb4FltZ3pTePP1vnyuK0iAK8fB86JqQtRY&amp;qlt=95" TargetMode="External"/><Relationship Id="rId83" Type="http://schemas.openxmlformats.org/officeDocument/2006/relationships/hyperlink" Target="https://www.bing.com/th?id=OSK.f8018c7e875967eb51ae0b4e2f801a0f&amp;qlt=95" TargetMode="External"/><Relationship Id="rId179" Type="http://schemas.openxmlformats.org/officeDocument/2006/relationships/hyperlink" Target="https://www.bing.com/th?id=OSK.4d57c61638d14ed19a292de2786bef62&amp;qlt=95" TargetMode="External"/><Relationship Id="rId386" Type="http://schemas.openxmlformats.org/officeDocument/2006/relationships/hyperlink" Target="https://www.bing.com/images/search?form=xlimg&amp;q=Tonopah,%20Nevada" TargetMode="External"/><Relationship Id="rId190" Type="http://schemas.openxmlformats.org/officeDocument/2006/relationships/hyperlink" Target="https://www.bing.com/images/search?form=xlimg&amp;q=Placerville,%20California" TargetMode="External"/><Relationship Id="rId204" Type="http://schemas.openxmlformats.org/officeDocument/2006/relationships/hyperlink" Target="https://www.bing.com/images/search?form=xlimg&amp;q=Riverside,%20California" TargetMode="External"/><Relationship Id="rId246" Type="http://schemas.openxmlformats.org/officeDocument/2006/relationships/hyperlink" Target="https://www.bing.com/images/search?form=xlimg&amp;q=South%20Lake%20Tahoe,%20California" TargetMode="External"/><Relationship Id="rId288" Type="http://schemas.openxmlformats.org/officeDocument/2006/relationships/hyperlink" Target="https://www.bing.com/images/search?form=xlimg&amp;q=Williams,%20California" TargetMode="External"/><Relationship Id="rId411" Type="http://schemas.openxmlformats.org/officeDocument/2006/relationships/hyperlink" Target="https://www.bing.com/th?id=OSK.eebaa78cdbb8511430a99ca6badc7297&amp;qlt=95" TargetMode="External"/><Relationship Id="rId453" Type="http://schemas.openxmlformats.org/officeDocument/2006/relationships/hyperlink" Target="https://www.bing.com/th?id=OSK.cc9a59b5d0aee92297dea269af079e05&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rd>
    <address r:id="rId97"/>
    <moreImagesAddress r:id="rId98"/>
  </webImageSrd>
  <webImageSrd>
    <address r:id="rId99"/>
    <moreImagesAddress r:id="rId100"/>
  </webImageSrd>
  <webImageSrd>
    <address r:id="rId101"/>
    <moreImagesAddress r:id="rId102"/>
  </webImageSrd>
  <webImageSrd>
    <address r:id="rId103"/>
    <moreImagesAddress r:id="rId104"/>
  </webImageSrd>
  <webImageSrd>
    <address r:id="rId105"/>
    <moreImagesAddress r:id="rId106"/>
  </webImageSrd>
  <webImageSrd>
    <address r:id="rId107"/>
    <moreImagesAddress r:id="rId108"/>
  </webImageSrd>
  <webImageSrd>
    <address r:id="rId109"/>
    <moreImagesAddress r:id="rId110"/>
  </webImageSrd>
  <webImageSrd>
    <address r:id="rId111"/>
    <moreImagesAddress r:id="rId112"/>
  </webImageSrd>
  <webImageSrd>
    <address r:id="rId113"/>
    <moreImagesAddress r:id="rId114"/>
  </webImageSrd>
  <webImageSrd>
    <address r:id="rId115"/>
    <moreImagesAddress r:id="rId116"/>
  </webImageSrd>
  <webImageSrd>
    <address r:id="rId117"/>
    <moreImagesAddress r:id="rId118"/>
  </webImageSrd>
  <webImageSrd>
    <address r:id="rId119"/>
    <moreImagesAddress r:id="rId120"/>
  </webImageSrd>
  <webImageSrd>
    <address r:id="rId121"/>
    <moreImagesAddress r:id="rId122"/>
  </webImageSrd>
  <webImageSrd>
    <address r:id="rId123"/>
    <moreImagesAddress r:id="rId124"/>
  </webImageSrd>
  <webImageSrd>
    <address r:id="rId125"/>
    <moreImagesAddress r:id="rId126"/>
  </webImageSrd>
  <webImageSrd>
    <address r:id="rId127"/>
    <moreImagesAddress r:id="rId128"/>
  </webImageSrd>
  <webImageSrd>
    <address r:id="rId129"/>
    <moreImagesAddress r:id="rId130"/>
  </webImageSrd>
  <webImageSrd>
    <address r:id="rId131"/>
    <moreImagesAddress r:id="rId132"/>
  </webImageSrd>
  <webImageSrd>
    <address r:id="rId133"/>
    <moreImagesAddress r:id="rId134"/>
  </webImageSrd>
  <webImageSrd>
    <address r:id="rId135"/>
    <moreImagesAddress r:id="rId136"/>
  </webImageSrd>
  <webImageSrd>
    <address r:id="rId137"/>
    <moreImagesAddress r:id="rId138"/>
  </webImageSrd>
  <webImageSrd>
    <address r:id="rId139"/>
    <moreImagesAddress r:id="rId140"/>
  </webImageSrd>
  <webImageSrd>
    <address r:id="rId141"/>
    <moreImagesAddress r:id="rId142"/>
  </webImageSrd>
  <webImageSrd>
    <address r:id="rId143"/>
    <moreImagesAddress r:id="rId144"/>
  </webImageSrd>
  <webImageSrd>
    <address r:id="rId145"/>
    <moreImagesAddress r:id="rId146"/>
  </webImageSrd>
  <webImageSrd>
    <address r:id="rId147"/>
    <moreImagesAddress r:id="rId148"/>
  </webImageSrd>
  <webImageSrd>
    <address r:id="rId149"/>
    <moreImagesAddress r:id="rId150"/>
  </webImageSrd>
  <webImageSrd>
    <address r:id="rId151"/>
    <moreImagesAddress r:id="rId152"/>
  </webImageSrd>
  <webImageSrd>
    <address r:id="rId153"/>
    <moreImagesAddress r:id="rId154"/>
  </webImageSrd>
  <webImageSrd>
    <address r:id="rId155"/>
    <moreImagesAddress r:id="rId156"/>
  </webImageSrd>
  <webImageSrd>
    <address r:id="rId157"/>
    <moreImagesAddress r:id="rId158"/>
  </webImageSrd>
  <webImageSrd>
    <address r:id="rId159"/>
    <moreImagesAddress r:id="rId160"/>
  </webImageSrd>
  <webImageSrd>
    <address r:id="rId161"/>
    <moreImagesAddress r:id="rId162"/>
  </webImageSrd>
  <webImageSrd>
    <address r:id="rId163"/>
    <moreImagesAddress r:id="rId164"/>
  </webImageSrd>
  <webImageSrd>
    <address r:id="rId165"/>
    <moreImagesAddress r:id="rId166"/>
  </webImageSrd>
  <webImageSrd>
    <address r:id="rId167"/>
    <moreImagesAddress r:id="rId168"/>
  </webImageSrd>
  <webImageSrd>
    <address r:id="rId169"/>
    <moreImagesAddress r:id="rId170"/>
  </webImageSrd>
  <webImageSrd>
    <address r:id="rId171"/>
    <moreImagesAddress r:id="rId172"/>
  </webImageSrd>
  <webImageSrd>
    <address r:id="rId173"/>
    <moreImagesAddress r:id="rId174"/>
  </webImageSrd>
  <webImageSrd>
    <address r:id="rId175"/>
    <moreImagesAddress r:id="rId176"/>
  </webImageSrd>
  <webImageSrd>
    <address r:id="rId177"/>
    <moreImagesAddress r:id="rId178"/>
  </webImageSrd>
  <webImageSrd>
    <address r:id="rId179"/>
    <moreImagesAddress r:id="rId180"/>
  </webImageSrd>
  <webImageSrd>
    <address r:id="rId181"/>
    <moreImagesAddress r:id="rId182"/>
  </webImageSrd>
  <webImageSrd>
    <address r:id="rId183"/>
    <moreImagesAddress r:id="rId184"/>
  </webImageSrd>
  <webImageSrd>
    <address r:id="rId185"/>
    <moreImagesAddress r:id="rId186"/>
  </webImageSrd>
  <webImageSrd>
    <address r:id="rId187"/>
    <moreImagesAddress r:id="rId188"/>
  </webImageSrd>
  <webImageSrd>
    <address r:id="rId189"/>
    <moreImagesAddress r:id="rId190"/>
  </webImageSrd>
  <webImageSrd>
    <address r:id="rId191"/>
    <moreImagesAddress r:id="rId192"/>
  </webImageSrd>
  <webImageSrd>
    <address r:id="rId193"/>
    <moreImagesAddress r:id="rId194"/>
  </webImageSrd>
  <webImageSrd>
    <address r:id="rId195"/>
    <moreImagesAddress r:id="rId196"/>
  </webImageSrd>
  <webImageSrd>
    <address r:id="rId197"/>
    <moreImagesAddress r:id="rId198"/>
  </webImageSrd>
  <webImageSrd>
    <address r:id="rId199"/>
    <moreImagesAddress r:id="rId200"/>
  </webImageSrd>
  <webImageSrd>
    <address r:id="rId201"/>
    <moreImagesAddress r:id="rId202"/>
  </webImageSrd>
  <webImageSrd>
    <address r:id="rId203"/>
    <moreImagesAddress r:id="rId204"/>
  </webImageSrd>
  <webImageSrd>
    <address r:id="rId205"/>
    <moreImagesAddress r:id="rId206"/>
  </webImageSrd>
  <webImageSrd>
    <address r:id="rId207"/>
    <moreImagesAddress r:id="rId208"/>
  </webImageSrd>
  <webImageSrd>
    <address r:id="rId209"/>
    <moreImagesAddress r:id="rId210"/>
  </webImageSrd>
  <webImageSrd>
    <address r:id="rId211"/>
    <moreImagesAddress r:id="rId212"/>
  </webImageSrd>
  <webImageSrd>
    <address r:id="rId213"/>
    <moreImagesAddress r:id="rId214"/>
  </webImageSrd>
  <webImageSrd>
    <address r:id="rId215"/>
    <moreImagesAddress r:id="rId216"/>
  </webImageSrd>
  <webImageSrd>
    <address r:id="rId217"/>
    <moreImagesAddress r:id="rId218"/>
  </webImageSrd>
  <webImageSrd>
    <address r:id="rId219"/>
    <moreImagesAddress r:id="rId220"/>
  </webImageSrd>
  <webImageSrd>
    <address r:id="rId221"/>
    <moreImagesAddress r:id="rId222"/>
  </webImageSrd>
  <webImageSrd>
    <address r:id="rId223"/>
    <moreImagesAddress r:id="rId224"/>
  </webImageSrd>
  <webImageSrd>
    <address r:id="rId225"/>
    <moreImagesAddress r:id="rId226"/>
  </webImageSrd>
  <webImageSrd>
    <address r:id="rId227"/>
    <moreImagesAddress r:id="rId228"/>
  </webImageSrd>
  <webImageSrd>
    <address r:id="rId229"/>
    <moreImagesAddress r:id="rId230"/>
  </webImageSrd>
  <webImageSrd>
    <address r:id="rId231"/>
    <moreImagesAddress r:id="rId232"/>
  </webImageSrd>
  <webImageSrd>
    <address r:id="rId233"/>
    <moreImagesAddress r:id="rId234"/>
  </webImageSrd>
  <webImageSrd>
    <address r:id="rId235"/>
    <moreImagesAddress r:id="rId236"/>
  </webImageSrd>
  <webImageSrd>
    <address r:id="rId237"/>
    <moreImagesAddress r:id="rId238"/>
  </webImageSrd>
  <webImageSrd>
    <address r:id="rId239"/>
    <moreImagesAddress r:id="rId240"/>
  </webImageSrd>
  <webImageSrd>
    <address r:id="rId241"/>
    <moreImagesAddress r:id="rId242"/>
  </webImageSrd>
  <webImageSrd>
    <address r:id="rId243"/>
    <moreImagesAddress r:id="rId244"/>
  </webImageSrd>
  <webImageSrd>
    <address r:id="rId245"/>
    <moreImagesAddress r:id="rId246"/>
  </webImageSrd>
  <webImageSrd>
    <address r:id="rId247"/>
    <moreImagesAddress r:id="rId248"/>
  </webImageSrd>
  <webImageSrd>
    <address r:id="rId249"/>
    <moreImagesAddress r:id="rId250"/>
  </webImageSrd>
  <webImageSrd>
    <address r:id="rId251"/>
    <moreImagesAddress r:id="rId252"/>
  </webImageSrd>
  <webImageSrd>
    <address r:id="rId253"/>
    <moreImagesAddress r:id="rId254"/>
  </webImageSrd>
  <webImageSrd>
    <address r:id="rId255"/>
    <moreImagesAddress r:id="rId256"/>
  </webImageSrd>
  <webImageSrd>
    <address r:id="rId257"/>
    <moreImagesAddress r:id="rId258"/>
  </webImageSrd>
  <webImageSrd>
    <address r:id="rId259"/>
    <moreImagesAddress r:id="rId260"/>
  </webImageSrd>
  <webImageSrd>
    <address r:id="rId261"/>
    <moreImagesAddress r:id="rId262"/>
  </webImageSrd>
  <webImageSrd>
    <address r:id="rId263"/>
    <moreImagesAddress r:id="rId264"/>
  </webImageSrd>
  <webImageSrd>
    <address r:id="rId265"/>
    <moreImagesAddress r:id="rId266"/>
  </webImageSrd>
  <webImageSrd>
    <address r:id="rId267"/>
    <moreImagesAddress r:id="rId268"/>
  </webImageSrd>
  <webImageSrd>
    <address r:id="rId269"/>
    <moreImagesAddress r:id="rId270"/>
  </webImageSrd>
  <webImageSrd>
    <address r:id="rId271"/>
    <moreImagesAddress r:id="rId272"/>
  </webImageSrd>
  <webImageSrd>
    <address r:id="rId273"/>
    <moreImagesAddress r:id="rId274"/>
  </webImageSrd>
  <webImageSrd>
    <address r:id="rId275"/>
    <moreImagesAddress r:id="rId276"/>
  </webImageSrd>
  <webImageSrd>
    <address r:id="rId277"/>
    <moreImagesAddress r:id="rId278"/>
  </webImageSrd>
  <webImageSrd>
    <address r:id="rId279"/>
    <moreImagesAddress r:id="rId280"/>
  </webImageSrd>
  <webImageSrd>
    <address r:id="rId281"/>
    <moreImagesAddress r:id="rId282"/>
  </webImageSrd>
  <webImageSrd>
    <address r:id="rId283"/>
    <moreImagesAddress r:id="rId284"/>
  </webImageSrd>
  <webImageSrd>
    <address r:id="rId285"/>
    <moreImagesAddress r:id="rId286"/>
  </webImageSrd>
  <webImageSrd>
    <address r:id="rId287"/>
    <moreImagesAddress r:id="rId288"/>
  </webImageSrd>
  <webImageSrd>
    <address r:id="rId289"/>
    <moreImagesAddress r:id="rId290"/>
  </webImageSrd>
  <webImageSrd>
    <address r:id="rId291"/>
    <moreImagesAddress r:id="rId292"/>
  </webImageSrd>
  <webImageSrd>
    <address r:id="rId293"/>
    <moreImagesAddress r:id="rId294"/>
  </webImageSrd>
  <webImageSrd>
    <address r:id="rId295"/>
    <moreImagesAddress r:id="rId296"/>
  </webImageSrd>
  <webImageSrd>
    <address r:id="rId297"/>
    <moreImagesAddress r:id="rId298"/>
  </webImageSrd>
  <webImageSrd>
    <address r:id="rId299"/>
    <moreImagesAddress r:id="rId300"/>
  </webImageSrd>
  <webImageSrd>
    <address r:id="rId301"/>
    <moreImagesAddress r:id="rId302"/>
  </webImageSrd>
  <webImageSrd>
    <address r:id="rId303"/>
    <moreImagesAddress r:id="rId304"/>
  </webImageSrd>
  <webImageSrd>
    <address r:id="rId305"/>
    <moreImagesAddress r:id="rId306"/>
  </webImageSrd>
  <webImageSrd>
    <address r:id="rId307"/>
    <moreImagesAddress r:id="rId308"/>
  </webImageSrd>
  <webImageSrd>
    <address r:id="rId309"/>
    <moreImagesAddress r:id="rId310"/>
  </webImageSrd>
  <webImageSrd>
    <address r:id="rId311"/>
    <moreImagesAddress r:id="rId312"/>
  </webImageSrd>
  <webImageSrd>
    <address r:id="rId313"/>
    <moreImagesAddress r:id="rId314"/>
  </webImageSrd>
  <webImageSrd>
    <address r:id="rId315"/>
    <moreImagesAddress r:id="rId316"/>
  </webImageSrd>
  <webImageSrd>
    <address r:id="rId317"/>
    <moreImagesAddress r:id="rId318"/>
  </webImageSrd>
  <webImageSrd>
    <address r:id="rId319"/>
    <moreImagesAddress r:id="rId320"/>
  </webImageSrd>
  <webImageSrd>
    <address r:id="rId321"/>
    <moreImagesAddress r:id="rId322"/>
  </webImageSrd>
  <webImageSrd>
    <address r:id="rId323"/>
    <moreImagesAddress r:id="rId324"/>
  </webImageSrd>
  <webImageSrd>
    <address r:id="rId325"/>
    <moreImagesAddress r:id="rId326"/>
  </webImageSrd>
  <webImageSrd>
    <address r:id="rId327"/>
    <moreImagesAddress r:id="rId328"/>
  </webImageSrd>
  <webImageSrd>
    <address r:id="rId329"/>
    <moreImagesAddress r:id="rId330"/>
  </webImageSrd>
  <webImageSrd>
    <address r:id="rId331"/>
    <moreImagesAddress r:id="rId332"/>
  </webImageSrd>
  <webImageSrd>
    <address r:id="rId333"/>
    <moreImagesAddress r:id="rId334"/>
  </webImageSrd>
  <webImageSrd>
    <address r:id="rId335"/>
    <moreImagesAddress r:id="rId336"/>
  </webImageSrd>
  <webImageSrd>
    <address r:id="rId337"/>
    <moreImagesAddress r:id="rId338"/>
  </webImageSrd>
  <webImageSrd>
    <address r:id="rId339"/>
    <moreImagesAddress r:id="rId340"/>
  </webImageSrd>
  <webImageSrd>
    <address r:id="rId341"/>
    <moreImagesAddress r:id="rId342"/>
  </webImageSrd>
  <webImageSrd>
    <address r:id="rId343"/>
    <moreImagesAddress r:id="rId344"/>
  </webImageSrd>
  <webImageSrd>
    <address r:id="rId345"/>
    <moreImagesAddress r:id="rId346"/>
  </webImageSrd>
  <webImageSrd>
    <address r:id="rId347"/>
    <moreImagesAddress r:id="rId348"/>
  </webImageSrd>
  <webImageSrd>
    <address r:id="rId349"/>
    <moreImagesAddress r:id="rId350"/>
  </webImageSrd>
  <webImageSrd>
    <address r:id="rId351"/>
    <moreImagesAddress r:id="rId352"/>
  </webImageSrd>
  <webImageSrd>
    <address r:id="rId353"/>
    <moreImagesAddress r:id="rId354"/>
  </webImageSrd>
  <webImageSrd>
    <address r:id="rId355"/>
    <moreImagesAddress r:id="rId356"/>
  </webImageSrd>
  <webImageSrd>
    <address r:id="rId357"/>
    <moreImagesAddress r:id="rId358"/>
  </webImageSrd>
  <webImageSrd>
    <address r:id="rId359"/>
    <moreImagesAddress r:id="rId360"/>
  </webImageSrd>
  <webImageSrd>
    <address r:id="rId361"/>
    <moreImagesAddress r:id="rId362"/>
  </webImageSrd>
  <webImageSrd>
    <address r:id="rId363"/>
    <moreImagesAddress r:id="rId364"/>
  </webImageSrd>
  <webImageSrd>
    <address r:id="rId365"/>
    <moreImagesAddress r:id="rId366"/>
  </webImageSrd>
  <webImageSrd>
    <address r:id="rId367"/>
    <moreImagesAddress r:id="rId368"/>
  </webImageSrd>
  <webImageSrd>
    <address r:id="rId369"/>
    <moreImagesAddress r:id="rId370"/>
  </webImageSrd>
  <webImageSrd>
    <address r:id="rId371"/>
    <moreImagesAddress r:id="rId372"/>
  </webImageSrd>
  <webImageSrd>
    <address r:id="rId373"/>
    <moreImagesAddress r:id="rId374"/>
  </webImageSrd>
  <webImageSrd>
    <address r:id="rId375"/>
    <moreImagesAddress r:id="rId376"/>
  </webImageSrd>
  <webImageSrd>
    <address r:id="rId377"/>
    <moreImagesAddress r:id="rId378"/>
  </webImageSrd>
  <webImageSrd>
    <address r:id="rId379"/>
    <moreImagesAddress r:id="rId380"/>
  </webImageSrd>
  <webImageSrd>
    <address r:id="rId381"/>
    <moreImagesAddress r:id="rId382"/>
  </webImageSrd>
  <webImageSrd>
    <address r:id="rId383"/>
    <moreImagesAddress r:id="rId384"/>
  </webImageSrd>
  <webImageSrd>
    <address r:id="rId385"/>
    <moreImagesAddress r:id="rId386"/>
  </webImageSrd>
  <webImageSrd>
    <address r:id="rId387"/>
    <moreImagesAddress r:id="rId388"/>
  </webImageSrd>
  <webImageSrd>
    <address r:id="rId389"/>
    <moreImagesAddress r:id="rId390"/>
  </webImageSrd>
  <webImageSrd>
    <address r:id="rId391"/>
    <moreImagesAddress r:id="rId392"/>
  </webImageSrd>
  <webImageSrd>
    <address r:id="rId393"/>
    <moreImagesAddress r:id="rId394"/>
  </webImageSrd>
  <webImageSrd>
    <address r:id="rId395"/>
    <moreImagesAddress r:id="rId396"/>
  </webImageSrd>
  <webImageSrd>
    <address r:id="rId397"/>
    <moreImagesAddress r:id="rId398"/>
  </webImageSrd>
  <webImageSrd>
    <address r:id="rId399"/>
    <moreImagesAddress r:id="rId400"/>
  </webImageSrd>
  <webImageSrd>
    <address r:id="rId401"/>
    <moreImagesAddress r:id="rId402"/>
  </webImageSrd>
  <webImageSrd>
    <address r:id="rId403"/>
    <moreImagesAddress r:id="rId404"/>
  </webImageSrd>
  <webImageSrd>
    <address r:id="rId405"/>
    <moreImagesAddress r:id="rId406"/>
  </webImageSrd>
  <webImageSrd>
    <address r:id="rId407"/>
    <moreImagesAddress r:id="rId408"/>
  </webImageSrd>
  <webImageSrd>
    <address r:id="rId409"/>
    <moreImagesAddress r:id="rId410"/>
  </webImageSrd>
  <webImageSrd>
    <address r:id="rId411"/>
    <moreImagesAddress r:id="rId412"/>
  </webImageSrd>
  <webImageSrd>
    <address r:id="rId413"/>
    <moreImagesAddress r:id="rId414"/>
  </webImageSrd>
  <webImageSrd>
    <address r:id="rId415"/>
    <moreImagesAddress r:id="rId416"/>
  </webImageSrd>
  <webImageSrd>
    <address r:id="rId417"/>
    <moreImagesAddress r:id="rId418"/>
  </webImageSrd>
  <webImageSrd>
    <address r:id="rId419"/>
    <moreImagesAddress r:id="rId420"/>
  </webImageSrd>
  <webImageSrd>
    <address r:id="rId421"/>
    <moreImagesAddress r:id="rId422"/>
  </webImageSrd>
  <webImageSrd>
    <address r:id="rId423"/>
    <moreImagesAddress r:id="rId424"/>
  </webImageSrd>
  <webImageSrd>
    <address r:id="rId425"/>
    <moreImagesAddress r:id="rId426"/>
  </webImageSrd>
  <webImageSrd>
    <address r:id="rId427"/>
    <moreImagesAddress r:id="rId428"/>
  </webImageSrd>
  <webImageSrd>
    <address r:id="rId429"/>
    <moreImagesAddress r:id="rId430"/>
  </webImageSrd>
  <webImageSrd>
    <address r:id="rId431"/>
    <moreImagesAddress r:id="rId432"/>
  </webImageSrd>
  <webImageSrd>
    <address r:id="rId433"/>
    <moreImagesAddress r:id="rId434"/>
  </webImageSrd>
  <webImageSrd>
    <address r:id="rId435"/>
    <moreImagesAddress r:id="rId436"/>
  </webImageSrd>
  <webImageSrd>
    <address r:id="rId437"/>
    <moreImagesAddress r:id="rId438"/>
  </webImageSrd>
  <webImageSrd>
    <address r:id="rId439"/>
    <moreImagesAddress r:id="rId440"/>
  </webImageSrd>
  <webImageSrd>
    <address r:id="rId441"/>
    <moreImagesAddress r:id="rId442"/>
  </webImageSrd>
  <webImageSrd>
    <address r:id="rId443"/>
    <moreImagesAddress r:id="rId444"/>
  </webImageSrd>
  <webImageSrd>
    <address r:id="rId445"/>
    <moreImagesAddress r:id="rId446"/>
  </webImageSrd>
  <webImageSrd>
    <address r:id="rId447"/>
    <moreImagesAddress r:id="rId448"/>
  </webImageSrd>
  <webImageSrd>
    <address r:id="rId449"/>
    <moreImagesAddress r:id="rId450"/>
  </webImageSrd>
  <webImageSrd>
    <address r:id="rId451"/>
    <moreImagesAddress r:id="rId452"/>
  </webImageSrd>
  <webImageSrd>
    <address r:id="rId453"/>
    <moreImagesAddress r:id="rId454"/>
  </webImageSrd>
  <webImageSrd>
    <address r:id="rId455"/>
    <moreImagesAddress r:id="rId456"/>
  </webImageSrd>
  <webImageSrd>
    <address r:id="rId457"/>
    <moreImagesAddress r:id="rId458"/>
  </webImageSrd>
  <webImageSrd>
    <address r:id="rId459"/>
    <moreImagesAddress r:id="rId460"/>
  </webImageSrd>
  <webImageSrd>
    <address r:id="rId461"/>
    <moreImagesAddress r:id="rId462"/>
  </webImageSrd>
  <webImageSrd>
    <address r:id="rId463"/>
    <moreImagesAddress r:id="rId464"/>
  </webImageSrd>
  <webImageSrd>
    <address r:id="rId465"/>
    <moreImagesAddress r:id="rId466"/>
  </webImageSrd>
  <webImageSrd>
    <address r:id="rId467"/>
    <moreImagesAddress r:id="rId468"/>
  </webImageSrd>
  <webImageSrd>
    <address r:id="rId469"/>
    <moreImagesAddress r:id="rId470"/>
  </webImageSrd>
  <webImageSrd>
    <address r:id="rId471"/>
    <moreImagesAddress r:id="rId472"/>
  </webImageSrd>
  <webImageSrd>
    <address r:id="rId473"/>
    <moreImagesAddress r:id="rId474"/>
  </webImageSrd>
  <webImageSrd>
    <address r:id="rId475"/>
    <moreImagesAddress r:id="rId476"/>
  </webImageSrd>
  <webImageSrd>
    <address r:id="rId477"/>
    <moreImagesAddress r:id="rId478"/>
  </webImageSrd>
  <webImageSrd>
    <address r:id="rId479"/>
    <moreImagesAddress r:id="rId480"/>
  </webImageSrd>
  <webImageSrd>
    <address r:id="rId481"/>
    <moreImagesAddress r:id="rId482"/>
  </webImageSrd>
  <webImageSrd>
    <address r:id="rId483"/>
    <moreImagesAddress r:id="rId484"/>
  </webImageSrd>
  <webImageSrd>
    <address r:id="rId485"/>
    <moreImagesAddress r:id="rId486"/>
  </webImageSrd>
  <webImageSrd>
    <address r:id="rId487"/>
    <moreImagesAddress r:id="rId488"/>
  </webImageSrd>
  <webImageSrd>
    <address r:id="rId489"/>
    <moreImagesAddress r:id="rId490"/>
  </webImageSrd>
  <webImageSrd>
    <address r:id="rId491"/>
    <moreImagesAddress r:id="rId492"/>
  </webImageSrd>
  <webImageSrd>
    <address r:id="rId493"/>
    <moreImagesAddress r:id="rId494"/>
  </webImageSrd>
  <webImageSrd>
    <address r:id="rId495"/>
    <moreImagesAddress r:id="rId496"/>
  </webImageSrd>
  <webImageSrd>
    <address r:id="rId497"/>
    <moreImagesAddress r:id="rId498"/>
  </webImageSrd>
  <webImageSrd>
    <address r:id="rId499"/>
    <moreImagesAddress r:id="rId500"/>
  </webImageSrd>
</webImagesSrd>
</file>

<file path=xl/richData/rdarray.xml><?xml version="1.0" encoding="utf-8"?>
<arrayData xmlns="http://schemas.microsoft.com/office/spreadsheetml/2017/richdata2" count="204">
  <a r="1">
    <v t="r">7</v>
  </a>
  <a r="2">
    <v t="r">18</v>
    <v t="r">19</v>
  </a>
  <a r="1">
    <v t="r">30</v>
  </a>
  <a r="1">
    <v t="s">Pacific Time Zone</v>
  </a>
  <a r="1">
    <v t="r">51</v>
  </a>
  <a r="1">
    <v t="r">66</v>
  </a>
  <a r="1">
    <v t="r">77</v>
  </a>
  <a r="1">
    <v t="r">88</v>
  </a>
  <a r="1">
    <v t="r">99</v>
  </a>
  <a r="1">
    <v t="r">110</v>
  </a>
  <a r="1">
    <v t="r">121</v>
  </a>
  <a r="1">
    <v t="r">140</v>
  </a>
  <a r="1">
    <v t="s">George A. Nava (Mayor)</v>
  </a>
  <a r="1">
    <v t="r">169</v>
  </a>
  <a r="1">
    <v t="r">189</v>
  </a>
  <a r="1">
    <v t="r">209</v>
  </a>
  <a r="2">
    <v t="s">Eunice Ulloa (Mayor)</v>
    <v t="s">Matthew Ballantyne (City manager)</v>
  </a>
  <a r="1">
    <v t="r">237</v>
  </a>
  <a r="2">
    <v t="r">257</v>
    <v t="r">258</v>
  </a>
  <a r="1">
    <v t="r">268</v>
  </a>
  <a r="1">
    <v t="r">278</v>
  </a>
  <a r="1">
    <v t="r">302</v>
  </a>
  <a r="1">
    <v t="r">313</v>
  </a>
  <a r="1">
    <v t="r">332</v>
  </a>
  <a r="1">
    <v t="r">342</v>
  </a>
  <a r="1">
    <v t="r">352</v>
  </a>
  <a r="1">
    <v t="r">362</v>
  </a>
  <a r="1">
    <v t="r">373</v>
  </a>
  <a r="1">
    <v t="r">383</v>
  </a>
  <a r="1">
    <v t="r">394</v>
  </a>
  <a r="1">
    <v t="s">Harry T. Price (Mayor)</v>
  </a>
  <a r="1">
    <v t="r">414</v>
  </a>
  <a r="1">
    <v t="r">424</v>
  </a>
  <a r="1">
    <v t="s">Lily Mei 高敘加 (Mayor)</v>
  </a>
  <a r="1">
    <v t="r">443</v>
  </a>
  <a r="1">
    <v t="r">462</v>
  </a>
  <a r="1">
    <v t="r">472</v>
  </a>
  <a r="1">
    <v t="r">483</v>
  </a>
  <a r="1">
    <v t="r">500</v>
  </a>
  <a r="1">
    <v t="r">510</v>
  </a>
  <a r="1">
    <v t="r">521</v>
  </a>
  <a r="1">
    <v t="r">531</v>
  </a>
  <a r="1">
    <v t="r">549</v>
  </a>
  <a r="1">
    <v t="r">559</v>
  </a>
  <a r="1">
    <v t="r">569</v>
  </a>
  <a r="1">
    <v t="r">588</v>
  </a>
  <a r="1">
    <v t="r">598</v>
  </a>
  <a r="1">
    <v t="r">608</v>
  </a>
  <a r="1">
    <v t="r">618</v>
  </a>
  <a r="1">
    <v t="r">628</v>
  </a>
  <a r="1">
    <v t="r">639</v>
  </a>
  <a r="1">
    <v t="r">657</v>
  </a>
  <a r="1">
    <v t="r">667</v>
  </a>
  <a r="1">
    <v t="r">677</v>
  </a>
  <a r="2">
    <v t="s">Andrew J Medellin (Mayor)</v>
    <v t="s">Arnoldo Rodriguez (City manager)</v>
  </a>
  <a r="1">
    <v t="r">729</v>
  </a>
  <a r="1">
    <v t="r">747</v>
  </a>
  <a r="2">
    <v t="s">Hans Uslar (City manager)</v>
    <v t="s">Clyde Roberson (Mayor)</v>
  </a>
  <a r="1">
    <v t="r">767</v>
  </a>
  <a r="1">
    <v t="r">778</v>
  </a>
  <a r="1">
    <v t="r">789</v>
  </a>
  <a r="1">
    <v t="r">807</v>
  </a>
  <a r="1">
    <v t="r">817</v>
  </a>
  <a r="1">
    <v t="s">Paul S. Leon (Mayor)</v>
  </a>
  <a r="1">
    <v t="s">Linda Dahlmeier (Mayor)</v>
  </a>
  <a r="1">
    <v t="r">846</v>
  </a>
  <a r="1">
    <v t="r">856</v>
  </a>
  <a r="1">
    <v t="r">874</v>
  </a>
  <a r="1">
    <v t="r">884</v>
  </a>
  <a r="1">
    <v t="r">894</v>
  </a>
  <a r="1">
    <v t="r">904</v>
  </a>
  <a r="1">
    <v t="r">914</v>
  </a>
  <a r="1">
    <v t="r">925</v>
  </a>
  <a r="1">
    <v t="r">935</v>
  </a>
  <a r="1">
    <v t="r">946</v>
  </a>
  <a r="2">
    <v t="s">Adam McElvain (Mayor)</v>
    <v t="s">Barry Tippin (City manager)</v>
  </a>
  <a r="1">
    <v t="r">975</v>
  </a>
  <a r="1">
    <v t="r">985</v>
  </a>
  <a r="1">
    <v t="r">995</v>
  </a>
  <a r="1">
    <v t="r">1006</v>
  </a>
  <a r="1">
    <v t="r">1016</v>
  </a>
  <a r="1">
    <v t="r">1026</v>
  </a>
  <a r="1">
    <v t="r">1036</v>
  </a>
  <a r="1">
    <v t="r">1046</v>
  </a>
  <a r="1">
    <v t="r">1056</v>
  </a>
  <a r="1">
    <v t="r">1066</v>
  </a>
  <a r="1">
    <v t="r">1076</v>
  </a>
  <a r="1">
    <v t="r">1086</v>
  </a>
  <a r="1">
    <v t="r">1097</v>
  </a>
  <a r="2">
    <v t="r">1115</v>
    <v t="r">1116</v>
  </a>
  <a r="1">
    <v t="r">1127</v>
  </a>
  <a r="1">
    <v t="r">1137</v>
  </a>
  <a r="1">
    <v t="r">1148</v>
  </a>
  <a r="1">
    <v t="r">1158</v>
  </a>
  <a r="1">
    <v t="r">1168</v>
  </a>
  <a r="1">
    <v t="r">1178</v>
  </a>
  <a r="1">
    <v t="r">1188</v>
  </a>
  <a r="1">
    <v t="r">1199</v>
  </a>
  <a r="1">
    <v t="r">1209</v>
  </a>
  <a r="1">
    <v t="r">1219</v>
  </a>
  <a r="1">
    <v t="r">1229</v>
  </a>
  <a r="1">
    <v t="r">1240</v>
  </a>
  <a r="1">
    <v t="r">1250</v>
  </a>
  <a r="1">
    <v t="r">1260</v>
  </a>
  <a r="1">
    <v t="r">1270</v>
  </a>
  <a r="1">
    <v t="r">1280</v>
  </a>
  <a r="1">
    <v t="r">1290</v>
  </a>
  <a r="1">
    <v t="r">1301</v>
  </a>
  <a r="1">
    <v t="r">1311</v>
  </a>
  <a r="1">
    <v t="r">1321</v>
  </a>
  <a r="8">
    <v t="r">1347</v>
    <v t="r">1348</v>
    <v t="r">1349</v>
    <v t="r">1350</v>
    <v t="r">1351</v>
    <v t="r">1352</v>
    <v t="r">1353</v>
    <v t="r">1354</v>
  </a>
  <a r="1">
    <v t="r">1373</v>
  </a>
  <a r="1">
    <v t="r">1383</v>
  </a>
  <a r="2">
    <v t="s">Bob Link (Mayor)</v>
    <v t="s">Randy Groom (City manager)</v>
  </a>
  <a r="1">
    <v t="s">Loella Haskew (Mayor)</v>
  </a>
  <a r="1">
    <v t="r">1411</v>
  </a>
  <a r="1">
    <v t="r">1421</v>
  </a>
  <a r="1">
    <v t="r">1431</v>
  </a>
  <a r="1">
    <v t="r">1441</v>
  </a>
  <a r="1">
    <v t="r">1460</v>
  </a>
  <a r="1">
    <v t="r">1479</v>
  </a>
  <a r="1">
    <v t="r">1489</v>
  </a>
  <a r="1">
    <v t="r">1501</v>
  </a>
  <a r="1">
    <v t="r">1512</v>
  </a>
  <a r="1">
    <v t="r">1523</v>
  </a>
  <a r="1">
    <v t="r">1534</v>
  </a>
  <a r="1">
    <v t="r">1545</v>
  </a>
  <a r="1">
    <v t="r">1556</v>
  </a>
  <a r="1">
    <v t="r">1567</v>
  </a>
  <a r="1">
    <v t="r">1578</v>
  </a>
  <a r="1">
    <v t="r">1589</v>
  </a>
  <a r="1">
    <v t="r">1599</v>
  </a>
  <a r="1">
    <v t="r">1610</v>
  </a>
  <a r="2">
    <v t="r">1621</v>
    <v t="r">1622</v>
  </a>
  <a r="1">
    <v t="r">1632</v>
  </a>
  <a r="1">
    <v t="r">1643</v>
  </a>
  <a r="1">
    <v t="r">1654</v>
  </a>
  <a r="1">
    <v t="r">1664</v>
  </a>
  <a r="1">
    <v t="r">1675</v>
  </a>
  <a r="1">
    <v t="r">1686</v>
  </a>
  <a r="1">
    <v t="r">1697</v>
  </a>
  <a r="1">
    <v t="r">1707</v>
  </a>
  <a r="1">
    <v t="r">1717</v>
  </a>
  <a r="1">
    <v t="r">1728</v>
  </a>
  <a r="1">
    <v t="s">Mountain Time Zone</v>
  </a>
  <a r="1">
    <v t="r">1739</v>
  </a>
  <a r="1">
    <v t="r">1750</v>
  </a>
  <a r="1">
    <v t="r">1761</v>
  </a>
  <a r="1">
    <v t="r">1789</v>
  </a>
  <a r="1">
    <v t="r">1799</v>
  </a>
  <a r="1">
    <v t="r">1810</v>
  </a>
  <a r="1">
    <v t="r">1821</v>
  </a>
  <a r="1">
    <v t="r">1841</v>
  </a>
  <a r="1">
    <v t="r">1852</v>
  </a>
  <a r="1">
    <v t="r">1863</v>
  </a>
  <a r="1">
    <v t="r">1881</v>
  </a>
  <a r="1">
    <v t="s">Tim Sutton (City manager)</v>
  </a>
  <a r="1">
    <v t="r">1911</v>
  </a>
  <a r="1">
    <v t="r">1921</v>
  </a>
  <a r="1">
    <v t="s">Daylight saving time</v>
  </a>
  <a r="1">
    <v t="r">1949</v>
  </a>
  <a r="1">
    <v t="r">1959</v>
  </a>
  <a r="1">
    <v t="r">1971</v>
  </a>
  <a r="1">
    <v t="r">1982</v>
  </a>
  <a r="1">
    <v t="r">1993</v>
  </a>
  <a r="1">
    <v t="r">2004</v>
  </a>
  <a r="1">
    <v t="r">2015</v>
  </a>
  <a r="1">
    <v t="r">2035</v>
  </a>
  <a r="1">
    <v t="r">2046</v>
  </a>
  <a r="1">
    <v t="r">2056</v>
  </a>
  <a r="1">
    <v t="r">2067</v>
  </a>
  <a r="1">
    <v t="r">2077</v>
  </a>
  <a r="1">
    <v t="r">2095</v>
  </a>
  <a r="1">
    <v t="r">2106</v>
  </a>
  <a r="1">
    <v t="r">2116</v>
  </a>
  <a r="1">
    <v t="r">2127</v>
  </a>
  <a r="1">
    <v t="r">2147</v>
  </a>
  <a r="1">
    <v t="r">2158</v>
  </a>
  <a r="1">
    <v t="r">2169</v>
  </a>
  <a r="1">
    <v t="r">2180</v>
  </a>
  <a r="1">
    <v t="r">2190</v>
  </a>
  <a r="1">
    <v t="r">2200</v>
  </a>
  <a r="1">
    <v t="r">2210</v>
  </a>
  <a r="1">
    <v t="r">2221</v>
  </a>
  <a r="1">
    <v t="r">2231</v>
  </a>
  <a r="1">
    <v t="r">2242</v>
  </a>
  <a r="1">
    <v t="r">2253</v>
  </a>
  <a r="1">
    <v t="r">2263</v>
  </a>
  <a r="1">
    <v t="r">2274</v>
  </a>
  <a r="1">
    <v t="r">2295</v>
  </a>
  <a r="1">
    <v t="r">2314</v>
  </a>
  <a r="1">
    <v t="r">2334</v>
  </a>
  <a r="1">
    <v t="r">2345</v>
  </a>
  <a r="1">
    <v t="r">2356</v>
  </a>
  <a r="1">
    <v t="r">2366</v>
  </a>
  <a r="1">
    <v t="r">2377</v>
  </a>
  <a r="1">
    <v t="r">2388</v>
  </a>
  <a r="1">
    <v t="r">2398</v>
  </a>
  <a r="1">
    <v t="r">2409</v>
  </a>
  <a r="1">
    <v t="r">2437</v>
  </a>
  <a r="1">
    <v t="r">2447</v>
  </a>
  <a r="1">
    <v t="r">2457</v>
  </a>
  <a r="1">
    <v t="s">Armando Ayala Robles (Municipal president)</v>
  </a>
  <a r="1">
    <v t="r">2518</v>
  </a>
</arrayData>
</file>

<file path=xl/richData/rdrichvalue.xml><?xml version="1.0" encoding="utf-8"?>
<rvData xmlns="http://schemas.microsoft.com/office/spreadsheetml/2017/richdata" count="2524">
  <rv s="0">
    <v>536870912</v>
    <v>Alturas, California</v>
    <v>d66938ef-555f-937a-0d37-67b6145b4b11</v>
    <v>en-US</v>
    <v>Map</v>
  </rv>
  <rv s="0">
    <v>536870912</v>
    <v>California</v>
    <v>3009d91d-d582-4c34-85ba-772ba09e5be1</v>
    <v>en-US</v>
    <v>Map</v>
  </rv>
  <rv s="0">
    <v>536870912</v>
    <v>Modoc County</v>
    <v>cb071833-da24-3d6d-2502-5ebf78566aca</v>
    <v>en-US</v>
    <v>Map</v>
  </rv>
  <rv s="1">
    <fb>7.3741120000000002</fb>
    <v>8</v>
  </rv>
  <rv s="0">
    <v>536870912</v>
    <v>United States of America</v>
    <v>5232ed96-85b1-2edb-12c6-63e6c597a1de</v>
    <v>en-US</v>
    <v>Map</v>
  </rv>
  <rv s="2">
    <v>0</v>
    <v>6</v>
    <v>0</v>
    <v>7</v>
    <v>0</v>
    <v>Image of Alturas, California</v>
  </rv>
  <rv s="1">
    <fb>41.487222222222002</fb>
    <v>9</v>
  </rv>
  <rv s="0">
    <v>805306368</v>
    <v>Brian Cox (Mayor)</v>
    <v>d5225d82-2180-ca3a-36f9-8809577d8b87</v>
    <v>en-US</v>
    <v>Generic</v>
  </rv>
  <rv s="3">
    <v>0</v>
  </rv>
  <rv s="4">
    <v>https://www.bing.com/search?q=alturas+california&amp;form=skydnc</v>
    <v>Learn more on Bing</v>
  </rv>
  <rv s="1">
    <fb>-120.5425</fb>
    <v>9</v>
  </rv>
  <rv s="1">
    <fb>2715</fb>
    <v>8</v>
  </rv>
  <rv s="5">
    <v>#VALUE!</v>
    <v>en-US</v>
    <v>d66938ef-555f-937a-0d37-67b6145b4b11</v>
    <v>536870912</v>
    <v>1</v>
    <v>1</v>
    <v>2</v>
    <v>Alturas, California</v>
    <v>4</v>
    <v>5</v>
    <v>Map</v>
    <v>6</v>
    <v>7</v>
    <v>1</v>
    <v>2</v>
    <v>3</v>
    <v>4</v>
    <v>Alturas is a city and the county seat of Modoc County, California. Located in the Shasta Cascade region of Northern California, the city had a population of 2,715 at the 2020 census. Alturas is located at the confluence of the south and north ...</v>
    <v>5</v>
    <v>6</v>
    <v>8</v>
    <v>9</v>
    <v>10</v>
    <v>Alturas, California</v>
    <v>11</v>
    <v>Alturas, California</v>
    <v>mdp/vdpid/5054759883719573505</v>
  </rv>
  <rv s="0">
    <v>536870912</v>
    <v>Anaheim, California</v>
    <v>fb320bcc-737d-4494-9251-74b453baecec</v>
    <v>en-US</v>
    <v>Map</v>
  </rv>
  <rv s="0">
    <v>536870912</v>
    <v>Orange County</v>
    <v>47483b51-bcd6-530c-4c8c-53a8bd85ad87</v>
    <v>en-US</v>
    <v>Map</v>
  </rv>
  <rv s="1">
    <fb>131</fb>
    <v>8</v>
  </rv>
  <rv s="2">
    <v>1</v>
    <v>6</v>
    <v>10</v>
    <v>7</v>
    <v>0</v>
    <v>Image of Anaheim, California</v>
  </rv>
  <rv s="1">
    <fb>33.836111111111002</fb>
    <v>9</v>
  </rv>
  <rv s="0">
    <v>805306368</v>
    <v>Ashleigh Aitken (Mayor)</v>
    <v>d8299a32-10d7-431b-957b-65ce334ef3ce</v>
    <v>en-US</v>
    <v>Generic</v>
  </rv>
  <rv s="0">
    <v>805306368</v>
    <v>Natalie Rubalcava (Mayor)</v>
    <v>74514ca2-63ec-5e8b-e722-732d3b7fb29b</v>
    <v>en-US</v>
    <v>Generic</v>
  </rv>
  <rv s="3">
    <v>1</v>
  </rv>
  <rv s="4">
    <v>https://www.bing.com/search?q=anaheim+california&amp;form=skydnc</v>
    <v>Learn more on Bing</v>
  </rv>
  <rv s="1">
    <fb>-117.88972222222</fb>
    <v>9</v>
  </rv>
  <rv s="1">
    <fb>346824</fb>
    <v>8</v>
  </rv>
  <rv s="5">
    <v>#VALUE!</v>
    <v>en-US</v>
    <v>fb320bcc-737d-4494-9251-74b453baecec</v>
    <v>536870912</v>
    <v>1</v>
    <v>11</v>
    <v>2</v>
    <v>Anaheim, California</v>
    <v>4</v>
    <v>5</v>
    <v>Map</v>
    <v>6</v>
    <v>7</v>
    <v>1</v>
    <v>14</v>
    <v>15</v>
    <v>4</v>
    <v>Anaheim is a city in northern Orange County, California, United States, part of the Greater Los Angeles area. As of the 2020 census, the city had a population of 346,824, making it the most populous city in Orange County, the tenth-most populous ...</v>
    <v>16</v>
    <v>17</v>
    <v>20</v>
    <v>21</v>
    <v>22</v>
    <v>Anaheim, California</v>
    <v>23</v>
    <v>Anaheim, California</v>
    <v>mdp/vdpid/5061297270553575425</v>
  </rv>
  <rv s="0">
    <v>536870912</v>
    <v>Antioch, California</v>
    <v>a485e120-b14f-4f99-9451-bb34ceb00fb2</v>
    <v>en-US</v>
    <v>Map</v>
  </rv>
  <rv s="0">
    <v>536870912</v>
    <v>Contra Costa County</v>
    <v>693b12a1-b988-9b48-5e7c-aa3cd81ded72</v>
    <v>en-US</v>
    <v>Map</v>
  </rv>
  <rv s="1">
    <fb>78.015907999999996</fb>
    <v>8</v>
  </rv>
  <rv s="2">
    <v>2</v>
    <v>6</v>
    <v>12</v>
    <v>7</v>
    <v>0</v>
    <v>Image of Antioch, California</v>
  </rv>
  <rv s="1">
    <fb>38.005000000000003</fb>
    <v>9</v>
  </rv>
  <rv s="0">
    <v>805306368</v>
    <v>Lamar Thorpe (Mayor)</v>
    <v>42677f9b-85a1-1bcd-72f0-e673abd9db60</v>
    <v>en-US</v>
    <v>Generic</v>
  </rv>
  <rv s="3">
    <v>2</v>
  </rv>
  <rv s="4">
    <v>https://www.bing.com/search?q=antioch+california&amp;form=skydnc</v>
    <v>Learn more on Bing</v>
  </rv>
  <rv s="1">
    <fb>-121.80583333333</fb>
    <v>9</v>
  </rv>
  <rv s="1">
    <fb>115291</fb>
    <v>8</v>
  </rv>
  <rv s="5">
    <v>#VALUE!</v>
    <v>en-US</v>
    <v>a485e120-b14f-4f99-9451-bb34ceb00fb2</v>
    <v>536870912</v>
    <v>1</v>
    <v>13</v>
    <v>2</v>
    <v>Antioch, California</v>
    <v>4</v>
    <v>5</v>
    <v>Map</v>
    <v>6</v>
    <v>7</v>
    <v>1</v>
    <v>26</v>
    <v>27</v>
    <v>4</v>
    <v>Antioch is the third-largest city in Contra Costa County, California, United States. The city is located in the East Bay region of the San Francisco Bay Area along the Sacramento–San Joaquin River Delta. The city's population was 115,291 at the ...</v>
    <v>28</v>
    <v>29</v>
    <v>31</v>
    <v>32</v>
    <v>33</v>
    <v>Antioch, California</v>
    <v>34</v>
    <v>Antioch, California</v>
    <v>mdp/vdpid/5057786186194485249</v>
  </rv>
  <rv s="0">
    <v>536870912</v>
    <v>Arbuckle, California</v>
    <v>da1d2603-7e8e-788e-2503-6e52cce407bf</v>
    <v>en-US</v>
    <v>Map</v>
  </rv>
  <rv s="0">
    <v>536870912</v>
    <v>Colusa County</v>
    <v>ed5c2a55-6571-eccf-f65e-9a0b875f2924</v>
    <v>en-US</v>
    <v>Map</v>
  </rv>
  <rv s="1">
    <fb>4.5563279999999997</fb>
    <v>8</v>
  </rv>
  <rv s="2">
    <v>3</v>
    <v>6</v>
    <v>14</v>
    <v>7</v>
    <v>0</v>
    <v>Image of Arbuckle, California</v>
  </rv>
  <rv s="1">
    <fb>39.017499999999998</fb>
    <v>9</v>
  </rv>
  <rv s="4">
    <v>https://www.bing.com/search?q=arbuckle+california&amp;form=skydnc</v>
    <v>Learn more on Bing</v>
  </rv>
  <rv s="1">
    <fb>-122.05777777778</fb>
    <v>9</v>
  </rv>
  <rv s="1">
    <fb>3484</fb>
    <v>8</v>
  </rv>
  <rv s="3">
    <v>3</v>
  </rv>
  <rv s="6">
    <v>#VALUE!</v>
    <v>en-US</v>
    <v>da1d2603-7e8e-788e-2503-6e52cce407bf</v>
    <v>536870912</v>
    <v>1</v>
    <v>15</v>
    <v>16</v>
    <v>Arbuckle, California</v>
    <v>4</v>
    <v>5</v>
    <v>Map</v>
    <v>6</v>
    <v>7</v>
    <v>1</v>
    <v>37</v>
    <v>38</v>
    <v>4</v>
    <v>Arbuckle is a census-designated place in Colusa County, California, United States. The population was 3,028 at the 2010 census, up from 2,332 at the 2000 census. Arbuckle is situated in the southerly portion of Colusa County, approximately 20 ...</v>
    <v>39</v>
    <v>40</v>
    <v>41</v>
    <v>42</v>
    <v>Arbuckle, California</v>
    <v>43</v>
    <v>44</v>
    <v>Arbuckle, California</v>
    <v>mdp/vdpid/5057703513828622337</v>
  </rv>
  <rv s="0">
    <v>536870912</v>
    <v>Atwater, California</v>
    <v>f129b4e3-cd08-bdf7-3c5a-557a7fe7ed6b</v>
    <v>en-US</v>
    <v>Map</v>
  </rv>
  <rv s="0">
    <v>536870912</v>
    <v>Merced County</v>
    <v>ebcd62c7-ce10-8787-096d-1fedf9cda28b</v>
    <v>en-US</v>
    <v>Map</v>
  </rv>
  <rv s="1">
    <fb>15.847568000000001</fb>
    <v>8</v>
  </rv>
  <rv s="2">
    <v>4</v>
    <v>6</v>
    <v>17</v>
    <v>7</v>
    <v>0</v>
    <v>Image of Atwater, California</v>
  </rv>
  <rv s="1">
    <fb>37.347777777777999</fb>
    <v>9</v>
  </rv>
  <rv s="0">
    <v>805306368</v>
    <v>Paul Creighton (Mayor)</v>
    <v>0032da44-d425-612f-6013-02cbdafd8ccd</v>
    <v>en-US</v>
    <v>Generic</v>
  </rv>
  <rv s="3">
    <v>4</v>
  </rv>
  <rv s="4">
    <v>https://www.bing.com/search?q=atwater+california&amp;form=skydnc</v>
    <v>Learn more on Bing</v>
  </rv>
  <rv s="1">
    <fb>-120.60916666667001</fb>
    <v>9</v>
  </rv>
  <rv s="1">
    <fb>31970</fb>
    <v>8</v>
  </rv>
  <rv s="5">
    <v>#VALUE!</v>
    <v>en-US</v>
    <v>f129b4e3-cd08-bdf7-3c5a-557a7fe7ed6b</v>
    <v>536870912</v>
    <v>1</v>
    <v>18</v>
    <v>2</v>
    <v>Atwater, California</v>
    <v>4</v>
    <v>5</v>
    <v>Map</v>
    <v>6</v>
    <v>7</v>
    <v>1</v>
    <v>47</v>
    <v>48</v>
    <v>4</v>
    <v>Atwater is a city on State Route 99 in Merced County, California, United States. Atwater is 8 miles west-northwest of Merced, at an elevation of 151 feet. The population as of the 2020 census was 31,970, up from 28,168 in 2010.</v>
    <v>49</v>
    <v>50</v>
    <v>52</v>
    <v>53</v>
    <v>54</v>
    <v>Atwater, California</v>
    <v>55</v>
    <v>Atwater, California</v>
    <v>mdp/vdpid/5058412805313527809</v>
  </rv>
  <rv s="1">
    <fb>5107</fb>
    <v>8</v>
  </rv>
  <rv s="2">
    <v>5</v>
    <v>6</v>
    <v>19</v>
    <v>7</v>
    <v>0</v>
    <v>Image of Merced County, California</v>
  </rv>
  <rv s="0">
    <v>536870912</v>
    <v>Merced</v>
    <v>a695aebd-7352-4cef-9b86-c5d36311c125</v>
    <v>en-US</v>
    <v>Map</v>
  </rv>
  <rv s="4">
    <v>https://www.bing.com/search?q=merced+county+california&amp;form=skydnc</v>
    <v>Learn more on Bing</v>
  </rv>
  <rv s="1">
    <fb>281202</fb>
    <v>8</v>
  </rv>
  <rv s="7">
    <v>#VALUE!</v>
    <v>en-US</v>
    <v>ebcd62c7-ce10-8787-096d-1fedf9cda28b</v>
    <v>536870912</v>
    <v>1</v>
    <v>20</v>
    <v>21</v>
    <v>Merced County, California</v>
    <v>4</v>
    <v>5</v>
    <v>Map</v>
    <v>6</v>
    <v>7</v>
    <v>1</v>
    <v>57</v>
    <v>4</v>
    <v>Merced County is a county located in the northern San Joaquin Valley section of the Central Valley, in the U.S. state of California. As of the 2020 census, the population was 281,202. The county seat is Merced. The county is named after the ...</v>
    <v>58</v>
    <v>59</v>
    <v>60</v>
    <v>Merced County, California</v>
    <v>61</v>
    <v>Merced County, California</v>
    <v>mdp/vdpid/10035022</v>
  </rv>
  <rv s="1">
    <fb>60.156227999999999</fb>
    <v>8</v>
  </rv>
  <rv s="2">
    <v>6</v>
    <v>6</v>
    <v>22</v>
    <v>7</v>
    <v>0</v>
    <v>Image of Merced, California</v>
  </rv>
  <rv s="1">
    <fb>37.302222222221999</fb>
    <v>9</v>
  </rv>
  <rv s="0">
    <v>805306368</v>
    <v>Matthew Serratto (Mayor)</v>
    <v>c6591682-5a48-e0b8-d439-396e8aaa1288</v>
    <v>en-US</v>
    <v>Generic</v>
  </rv>
  <rv s="3">
    <v>5</v>
  </rv>
  <rv s="4">
    <v>https://www.bing.com/search?q=merced+california&amp;form=skydnc</v>
    <v>Learn more on Bing</v>
  </rv>
  <rv s="1">
    <fb>-120.48305555556</fb>
    <v>9</v>
  </rv>
  <rv s="1">
    <fb>86333</fb>
    <v>8</v>
  </rv>
  <rv s="5">
    <v>#VALUE!</v>
    <v>en-US</v>
    <v>a695aebd-7352-4cef-9b86-c5d36311c125</v>
    <v>536870912</v>
    <v>1</v>
    <v>23</v>
    <v>2</v>
    <v>Merced, California</v>
    <v>4</v>
    <v>5</v>
    <v>Map</v>
    <v>6</v>
    <v>7</v>
    <v>1</v>
    <v>47</v>
    <v>63</v>
    <v>4</v>
    <v>Merced is a city in, and the county seat of, Merced County, California, United States, in the San Joaquin Valley. As of the 2020 Census, the city had a population of 86,333, up from 78,958 in 2010. Incorporated on April 1, 1889, Merced is a ...</v>
    <v>64</v>
    <v>65</v>
    <v>67</v>
    <v>68</v>
    <v>69</v>
    <v>Merced, California</v>
    <v>70</v>
    <v>Merced, California</v>
    <v>mdp/vdpid/5058419536282255361</v>
  </rv>
  <rv s="0">
    <v>536870912</v>
    <v>Avalon, California</v>
    <v>e0d4a1c6-0c0b-e4cc-49ae-20a6062bde61</v>
    <v>en-US</v>
    <v>Map</v>
  </rv>
  <rv s="0">
    <v>536870912</v>
    <v>Los Angeles County</v>
    <v>a22eb5ba-111e-51ea-f880-81d4f242d057</v>
    <v>en-US</v>
    <v>Map</v>
  </rv>
  <rv s="1">
    <fb>7.6073950000000004</fb>
    <v>8</v>
  </rv>
  <rv s="2">
    <v>7</v>
    <v>6</v>
    <v>24</v>
    <v>7</v>
    <v>0</v>
    <v>Image of Avalon, California</v>
  </rv>
  <rv s="1">
    <fb>33.340833333333002</fb>
    <v>9</v>
  </rv>
  <rv s="0">
    <v>805306368</v>
    <v>Ann Marshall (Mayor)</v>
    <v>c5756bd2-1395-8ca0-d421-eed957f7e45e</v>
    <v>en-US</v>
    <v>Generic</v>
  </rv>
  <rv s="3">
    <v>6</v>
  </rv>
  <rv s="4">
    <v>https://www.bing.com/search?q=avalon+california&amp;form=skydnc</v>
    <v>Learn more on Bing</v>
  </rv>
  <rv s="1">
    <fb>-118.32777777778</fb>
    <v>9</v>
  </rv>
  <rv s="1">
    <fb>3460</fb>
    <v>8</v>
  </rv>
  <rv s="8">
    <v>#VALUE!</v>
    <v>en-US</v>
    <v>e0d4a1c6-0c0b-e4cc-49ae-20a6062bde61</v>
    <v>536870912</v>
    <v>1</v>
    <v>25</v>
    <v>26</v>
    <v>Avalon, California</v>
    <v>4</v>
    <v>5</v>
    <v>Map</v>
    <v>6</v>
    <v>7</v>
    <v>1</v>
    <v>73</v>
    <v>74</v>
    <v>4</v>
    <v>Avalon is the only incorporated city on Santa Catalina Island, in the California Channel Islands, and the southernmost city in Los Angeles County. The city is a resort community with the waterfront dominated by tourism-oriented businesses. The ...</v>
    <v>75</v>
    <v>76</v>
    <v>78</v>
    <v>79</v>
    <v>80</v>
    <v>Avalon, California</v>
    <v>81</v>
    <v>44</v>
    <v>Avalon, California</v>
    <v>mdp/vdpid/5071819466807967745</v>
  </rv>
  <rv s="0">
    <v>536870912</v>
    <v>Bakersfield, California</v>
    <v>c9cb18d6-e00c-49f8-ab28-dcf2ad3dea9d</v>
    <v>en-US</v>
    <v>Map</v>
  </rv>
  <rv s="0">
    <v>536870912</v>
    <v>Kern County</v>
    <v>0aa98df2-cc2c-680c-9ac3-0579ec6c1d68</v>
    <v>en-US</v>
    <v>Map</v>
  </rv>
  <rv s="1">
    <fb>389.17646000000002</fb>
    <v>8</v>
  </rv>
  <rv s="2">
    <v>8</v>
    <v>6</v>
    <v>27</v>
    <v>7</v>
    <v>0</v>
    <v>Image of Bakersfield, California</v>
  </rv>
  <rv s="1">
    <fb>35.405833333333</fb>
    <v>9</v>
  </rv>
  <rv s="0">
    <v>805306368</v>
    <v>Karen Goh (Mayor)</v>
    <v>f138069d-7bc6-098c-fe45-dc0ff9655987</v>
    <v>en-US</v>
    <v>Generic</v>
  </rv>
  <rv s="3">
    <v>7</v>
  </rv>
  <rv s="4">
    <v>https://www.bing.com/search?q=bakersfield+california&amp;form=skydnc</v>
    <v>Learn more on Bing</v>
  </rv>
  <rv s="1">
    <fb>-119.01861111111</fb>
    <v>9</v>
  </rv>
  <rv s="1">
    <fb>403455</fb>
    <v>8</v>
  </rv>
  <rv s="8">
    <v>#VALUE!</v>
    <v>en-US</v>
    <v>c9cb18d6-e00c-49f8-ab28-dcf2ad3dea9d</v>
    <v>536870912</v>
    <v>1</v>
    <v>28</v>
    <v>26</v>
    <v>Bakersfield, California</v>
    <v>4</v>
    <v>5</v>
    <v>Map</v>
    <v>6</v>
    <v>7</v>
    <v>1</v>
    <v>84</v>
    <v>85</v>
    <v>4</v>
    <v>Bakersfield is a city in Kern County, California, United States. Bakersfield is the most populous city and county seat of Kern County. The city covers about 151 sq mi near the southern end of the San Joaquin Valley, which is located in the ...</v>
    <v>86</v>
    <v>87</v>
    <v>89</v>
    <v>90</v>
    <v>91</v>
    <v>Bakersfield, California</v>
    <v>92</v>
    <v>44</v>
    <v>Bakersfield, California</v>
    <v>mdp/vdpid/5059470845592731649</v>
  </rv>
  <rv s="0">
    <v>536870912</v>
    <v>Barstow, California</v>
    <v>9e9aa945-3327-d9f7-4a46-1a9c8cfa8fe9</v>
    <v>en-US</v>
    <v>Map</v>
  </rv>
  <rv s="0">
    <v>536870912</v>
    <v>San Bernardino County</v>
    <v>fd929dd2-5075-dd27-d28f-5467819a0484</v>
    <v>en-US</v>
    <v>Map</v>
  </rv>
  <rv s="1">
    <fb>107.21164</fb>
    <v>8</v>
  </rv>
  <rv s="2">
    <v>9</v>
    <v>6</v>
    <v>29</v>
    <v>7</v>
    <v>0</v>
    <v>Image of Barstow, California</v>
  </rv>
  <rv s="1">
    <fb>34.893333333332997</fb>
    <v>9</v>
  </rv>
  <rv s="0">
    <v>805306368</v>
    <v>Paul A. Courtney (Mayor)</v>
    <v>bb993f2a-3b33-f2cd-5517-01e4f2bdcae1</v>
    <v>en-US</v>
    <v>Generic</v>
  </rv>
  <rv s="3">
    <v>8</v>
  </rv>
  <rv s="4">
    <v>https://www.bing.com/search?q=barstow+california&amp;form=skydnc</v>
    <v>Learn more on Bing</v>
  </rv>
  <rv s="1">
    <fb>-117.01888888889</fb>
    <v>9</v>
  </rv>
  <rv s="1">
    <fb>25415</fb>
    <v>8</v>
  </rv>
  <rv s="5">
    <v>#VALUE!</v>
    <v>en-US</v>
    <v>9e9aa945-3327-d9f7-4a46-1a9c8cfa8fe9</v>
    <v>536870912</v>
    <v>1</v>
    <v>30</v>
    <v>2</v>
    <v>Barstow, California</v>
    <v>4</v>
    <v>5</v>
    <v>Map</v>
    <v>6</v>
    <v>7</v>
    <v>1</v>
    <v>95</v>
    <v>96</v>
    <v>4</v>
    <v>Barstow is a city in San Bernardino County, California, in the Mojave Desert of Southern California. Located in the Inland Empire region of California, the population was 25,415 at the 2020 census. Barstow is an important crossroads for the ...</v>
    <v>97</v>
    <v>98</v>
    <v>100</v>
    <v>101</v>
    <v>102</v>
    <v>Barstow, California</v>
    <v>103</v>
    <v>Barstow, California</v>
    <v>mdp/vdpid/5061250440595767297</v>
  </rv>
  <rv s="0">
    <v>536870912</v>
    <v>Beaumont, California</v>
    <v>0eb50bbd-56d3-1f82-9ebd-42a7af1f9c9d</v>
    <v>en-US</v>
    <v>Map</v>
  </rv>
  <rv s="0">
    <v>536870912</v>
    <v>Riverside County</v>
    <v>2dce4f67-7530-895b-dfcb-02c325731adf</v>
    <v>en-US</v>
    <v>Map</v>
  </rv>
  <rv s="1">
    <fb>79.519024000000002</fb>
    <v>8</v>
  </rv>
  <rv s="2">
    <v>10</v>
    <v>6</v>
    <v>31</v>
    <v>7</v>
    <v>0</v>
    <v>Image of Beaumont, California</v>
  </rv>
  <rv s="1">
    <fb>33.924166666666999</fb>
    <v>9</v>
  </rv>
  <rv s="0">
    <v>805306368</v>
    <v>Lloyd White (Mayor)</v>
    <v>fa4120e3-7677-c3c1-bd9a-64c9075bfde5</v>
    <v>en-US</v>
    <v>Generic</v>
  </rv>
  <rv s="3">
    <v>9</v>
  </rv>
  <rv s="4">
    <v>https://www.bing.com/search?q=beaumont+california&amp;form=skydnc</v>
    <v>Learn more on Bing</v>
  </rv>
  <rv s="1">
    <fb>-116.97361111111</fb>
    <v>9</v>
  </rv>
  <rv s="1">
    <fb>53036</fb>
    <v>8</v>
  </rv>
  <rv s="5">
    <v>#VALUE!</v>
    <v>en-US</v>
    <v>0eb50bbd-56d3-1f82-9ebd-42a7af1f9c9d</v>
    <v>536870912</v>
    <v>1</v>
    <v>32</v>
    <v>2</v>
    <v>Beaumont, California</v>
    <v>4</v>
    <v>5</v>
    <v>Map</v>
    <v>6</v>
    <v>7</v>
    <v>1</v>
    <v>106</v>
    <v>107</v>
    <v>4</v>
    <v>Beaumont is a city in Riverside County, California, United States, located at the summit of the San Gorgonio Pass, between the San Bernardino Mountains and Mount San Gorgonio to the north, and the San Jacinto Mountains and San Jacinto Peak to ...</v>
    <v>108</v>
    <v>109</v>
    <v>111</v>
    <v>112</v>
    <v>113</v>
    <v>Beaumont, California</v>
    <v>114</v>
    <v>Beaumont, California</v>
    <v>mdp/vdpid/5061335512975933441</v>
  </rv>
  <rv s="0">
    <v>536870912</v>
    <v>Berkeley, California</v>
    <v>79ed4475-a3e1-49cb-abd5-2aee53c7abee</v>
    <v>en-US</v>
    <v>Map</v>
  </rv>
  <rv s="0">
    <v>536870912</v>
    <v>Alameda County</v>
    <v>737d999f-79a0-e7a8-7640-c2a6fd0f3dad</v>
    <v>en-US</v>
    <v>Map</v>
  </rv>
  <rv s="1">
    <fb>45.821691000000001</fb>
    <v>8</v>
  </rv>
  <rv s="2">
    <v>11</v>
    <v>6</v>
    <v>33</v>
    <v>7</v>
    <v>0</v>
    <v>Image of Berkeley, California</v>
  </rv>
  <rv s="1">
    <fb>37.870277777778</fb>
    <v>9</v>
  </rv>
  <rv s="0">
    <v>805306368</v>
    <v>Jesse Arreguín (Mayor)</v>
    <v>8c60becf-75ca-afbd-a0b9-1b82000262fd</v>
    <v>en-US</v>
    <v>Generic</v>
  </rv>
  <rv s="3">
    <v>10</v>
  </rv>
  <rv s="4">
    <v>https://www.bing.com/search?q=berkeley+ca&amp;form=skydnc</v>
    <v>Learn more on Bing</v>
  </rv>
  <rv s="1">
    <fb>-122.26805555556</fb>
    <v>9</v>
  </rv>
  <rv s="1">
    <fb>124321</fb>
    <v>8</v>
  </rv>
  <rv s="8">
    <v>#VALUE!</v>
    <v>en-US</v>
    <v>79ed4475-a3e1-49cb-abd5-2aee53c7abee</v>
    <v>536870912</v>
    <v>1</v>
    <v>34</v>
    <v>26</v>
    <v>Berkeley, California</v>
    <v>4</v>
    <v>5</v>
    <v>Map</v>
    <v>6</v>
    <v>7</v>
    <v>1</v>
    <v>117</v>
    <v>118</v>
    <v>4</v>
    <v>Berkeley is a city on the eastern shore of San Francisco Bay in northern Alameda County, California, United States. It is named after the 18th-century Anglo-Irish bishop and philosopher George Berkeley. It borders the cities of Oakland and ...</v>
    <v>119</v>
    <v>120</v>
    <v>122</v>
    <v>123</v>
    <v>124</v>
    <v>Berkeley, California</v>
    <v>125</v>
    <v>44</v>
    <v>Berkeley, California</v>
    <v>mdp/vdpid/5057965888616005634</v>
  </rv>
  <rv s="0">
    <v>536870912</v>
    <v>Big Pine, California</v>
    <v>86c15972-e729-1a63-f152-1dcaf8674b1a</v>
    <v>en-US</v>
    <v>Map</v>
  </rv>
  <rv s="0">
    <v>536870912</v>
    <v>Inyo County</v>
    <v>3a7cd614-026d-f2b4-450e-206cbcc2524f</v>
    <v>en-US</v>
    <v>Map</v>
  </rv>
  <rv s="1">
    <fb>7.6575319999999998</fb>
    <v>8</v>
  </rv>
  <rv s="2">
    <v>12</v>
    <v>6</v>
    <v>35</v>
    <v>7</v>
    <v>0</v>
    <v>Image of Big Pine, California</v>
  </rv>
  <rv s="1">
    <fb>37.164999999999999</fb>
    <v>9</v>
  </rv>
  <rv s="4">
    <v>https://www.bing.com/search?q=big+pine+california&amp;form=skydnc</v>
    <v>Learn more on Bing</v>
  </rv>
  <rv s="1">
    <fb>-118.28944444443999</fb>
    <v>9</v>
  </rv>
  <rv s="1">
    <fb>1875</fb>
    <v>8</v>
  </rv>
  <rv s="6">
    <v>#VALUE!</v>
    <v>en-US</v>
    <v>86c15972-e729-1a63-f152-1dcaf8674b1a</v>
    <v>536870912</v>
    <v>1</v>
    <v>36</v>
    <v>16</v>
    <v>Big Pine, California</v>
    <v>4</v>
    <v>5</v>
    <v>Map</v>
    <v>6</v>
    <v>7</v>
    <v>1</v>
    <v>128</v>
    <v>129</v>
    <v>4</v>
    <v>Big Pine is a census-designated place in Inyo County, California, United States. Big Pine is located approximately 15 miles south-southeast of Bishop, at an elevation of 3,989 feet. The population was 1,756 at the 2010 census, up from 1,350 at ...</v>
    <v>130</v>
    <v>131</v>
    <v>132</v>
    <v>133</v>
    <v>Big Pine, California</v>
    <v>134</v>
    <v>44</v>
    <v>Big Pine, California</v>
    <v>mdp/vdpid/5058645223509327873</v>
  </rv>
  <rv s="0">
    <v>536870912</v>
    <v>Bishop, California</v>
    <v>7293e223-d0bf-f9cb-0563-1b126b65145c</v>
    <v>en-US</v>
    <v>Map</v>
  </rv>
  <rv s="1">
    <fb>4.9492979999999998</fb>
    <v>8</v>
  </rv>
  <rv s="2">
    <v>13</v>
    <v>6</v>
    <v>37</v>
    <v>7</v>
    <v>0</v>
    <v>Image of Bishop, California</v>
  </rv>
  <rv s="1">
    <fb>37.363500000000002</fb>
    <v>9</v>
  </rv>
  <rv s="0">
    <v>805306368</v>
    <v>Jim Ellis (Mayor)</v>
    <v>e704afc0-597e-12f3-557a-2fe1dfdcf85b</v>
    <v>en-US</v>
    <v>Generic</v>
  </rv>
  <rv s="3">
    <v>11</v>
  </rv>
  <rv s="4">
    <v>https://www.bing.com/search?q=bishop+california&amp;form=skydnc</v>
    <v>Learn more on Bing</v>
  </rv>
  <rv s="1">
    <fb>-118.3951</fb>
    <v>9</v>
  </rv>
  <rv s="1">
    <fb>3819</fb>
    <v>8</v>
  </rv>
  <rv s="8">
    <v>#VALUE!</v>
    <v>en-US</v>
    <v>7293e223-d0bf-f9cb-0563-1b126b65145c</v>
    <v>536870912</v>
    <v>1</v>
    <v>38</v>
    <v>26</v>
    <v>Bishop, California</v>
    <v>4</v>
    <v>5</v>
    <v>Map</v>
    <v>6</v>
    <v>7</v>
    <v>1</v>
    <v>128</v>
    <v>137</v>
    <v>4</v>
    <v>Bishop is a city in California, United States. It is the largest populated place and only incorporated city in Inyo County. Bishop is located near the northern end of the Owens Valley, at an elevation of 4,150 feet. The city was named after ...</v>
    <v>138</v>
    <v>139</v>
    <v>141</v>
    <v>142</v>
    <v>143</v>
    <v>Bishop, California</v>
    <v>144</v>
    <v>44</v>
    <v>Bishop, California</v>
    <v>mdp/vdpid/5058593982217453569</v>
  </rv>
  <rv s="0">
    <v>536870912</v>
    <v>Bodega Bay, California</v>
    <v>efc90de1-6dd0-530d-e823-32985ebc86f8</v>
    <v>en-US</v>
    <v>Map</v>
  </rv>
  <rv s="0">
    <v>536870912</v>
    <v>Sonoma County</v>
    <v>240dd3d8-505e-625e-34d6-731a63790729</v>
    <v>en-US</v>
    <v>Map</v>
  </rv>
  <rv s="1">
    <fb>32.435980999999998</fb>
    <v>8</v>
  </rv>
  <rv s="2">
    <v>14</v>
    <v>6</v>
    <v>39</v>
    <v>7</v>
    <v>0</v>
    <v>Image of Bodega Bay, California</v>
  </rv>
  <rv s="1">
    <fb>38.324444444443998</fb>
    <v>9</v>
  </rv>
  <rv s="4">
    <v>https://www.bing.com/search?q=bodega+bay+california&amp;form=skydnc</v>
    <v>Learn more on Bing</v>
  </rv>
  <rv s="1">
    <fb>-123.03861111111</fb>
    <v>9</v>
  </rv>
  <rv s="1">
    <fb>912</fb>
    <v>8</v>
  </rv>
  <rv s="6">
    <v>#VALUE!</v>
    <v>en-US</v>
    <v>efc90de1-6dd0-530d-e823-32985ebc86f8</v>
    <v>536870912</v>
    <v>1</v>
    <v>40</v>
    <v>16</v>
    <v>Bodega Bay, California</v>
    <v>4</v>
    <v>5</v>
    <v>Map</v>
    <v>6</v>
    <v>7</v>
    <v>1</v>
    <v>147</v>
    <v>148</v>
    <v>4</v>
    <v>Bodega Bay is a village and census-designated place in Sonoma County, California, United States. The population was 912 at the 2020 census. The town, located along State Route 1, is on the eastern side of Bodega Harbor, an inlet of Bodega Bay on ...</v>
    <v>149</v>
    <v>150</v>
    <v>151</v>
    <v>152</v>
    <v>Bodega Bay, California</v>
    <v>153</v>
    <v>44</v>
    <v>Bodega Bay, California</v>
    <v>mdp/vdpid/5057630325639741441</v>
  </rv>
  <rv s="0">
    <v>536870912</v>
    <v>Brawley, California</v>
    <v>ac63e5a8-bd3a-a879-8694-f6829f764eb8</v>
    <v>en-US</v>
    <v>Map</v>
  </rv>
  <rv s="0">
    <v>536870912</v>
    <v>Imperial County</v>
    <v>5e2b5d73-da8d-5970-5451-63e56a0a3de7</v>
    <v>en-US</v>
    <v>Map</v>
  </rv>
  <rv s="1">
    <fb>19.895043999999999</fb>
    <v>8</v>
  </rv>
  <rv s="2">
    <v>15</v>
    <v>6</v>
    <v>41</v>
    <v>7</v>
    <v>0</v>
    <v>Image of Brawley, California</v>
  </rv>
  <rv s="1">
    <fb>32.978611111111</fb>
    <v>9</v>
  </rv>
  <rv s="3">
    <v>12</v>
  </rv>
  <rv s="4">
    <v>https://www.bing.com/search?q=brawley+california&amp;form=skydnc</v>
    <v>Learn more on Bing</v>
  </rv>
  <rv s="1">
    <fb>-115.53027777778</fb>
    <v>9</v>
  </rv>
  <rv s="1">
    <fb>26416</fb>
    <v>8</v>
  </rv>
  <rv s="5">
    <v>#VALUE!</v>
    <v>en-US</v>
    <v>ac63e5a8-bd3a-a879-8694-f6829f764eb8</v>
    <v>536870912</v>
    <v>1</v>
    <v>42</v>
    <v>2</v>
    <v>Brawley, California</v>
    <v>4</v>
    <v>5</v>
    <v>Map</v>
    <v>6</v>
    <v>7</v>
    <v>1</v>
    <v>156</v>
    <v>157</v>
    <v>4</v>
    <v>Brawley is a city in Imperial County, California, United States within the Imperial Valley. The population was 24,953 at the 2010 census, up from 22,052 in 2000. Year-round agriculture is an important economic activity in Brawley. The town has a ...</v>
    <v>158</v>
    <v>159</v>
    <v>160</v>
    <v>161</v>
    <v>162</v>
    <v>Brawley, California</v>
    <v>163</v>
    <v>Brawley, California</v>
    <v>mdp/vdpid/5073561018316095489</v>
  </rv>
  <rv s="0">
    <v>536870912</v>
    <v>Brentwood, California</v>
    <v>af785287-ad19-ab2d-f315-bf338ddc6bc6</v>
    <v>en-US</v>
    <v>Map</v>
  </rv>
  <rv s="1">
    <fb>38.484813000000003</fb>
    <v>8</v>
  </rv>
  <rv s="2">
    <v>16</v>
    <v>6</v>
    <v>43</v>
    <v>7</v>
    <v>0</v>
    <v>Image of Brentwood, California</v>
  </rv>
  <rv s="1">
    <fb>37.931944444443999</fb>
    <v>9</v>
  </rv>
  <rv s="0">
    <v>805306368</v>
    <v>Joel Bryant (Mayor)</v>
    <v>e5bd12a2-3512-6b5e-711f-ce5864b3be3a</v>
    <v>en-US</v>
    <v>Generic</v>
  </rv>
  <rv s="3">
    <v>13</v>
  </rv>
  <rv s="4">
    <v>https://www.bing.com/search?q=brentwood+california&amp;form=skydnc</v>
    <v>Learn more on Bing</v>
  </rv>
  <rv s="1">
    <fb>-121.69583333333</fb>
    <v>9</v>
  </rv>
  <rv s="1">
    <fb>64292</fb>
    <v>8</v>
  </rv>
  <rv s="8">
    <v>#VALUE!</v>
    <v>en-US</v>
    <v>af785287-ad19-ab2d-f315-bf338ddc6bc6</v>
    <v>536870912</v>
    <v>1</v>
    <v>44</v>
    <v>26</v>
    <v>Brentwood, California</v>
    <v>4</v>
    <v>5</v>
    <v>Map</v>
    <v>6</v>
    <v>7</v>
    <v>1</v>
    <v>26</v>
    <v>166</v>
    <v>4</v>
    <v>Brentwood, or “Corn Town”, is a city in Contra Costa County, California, United States. It is located in the East Bay region of the San Francisco Bay Area. The population is 66,854 as of 2022, an increase of 287% from 23,302 at the 2000 census.</v>
    <v>167</v>
    <v>168</v>
    <v>170</v>
    <v>171</v>
    <v>172</v>
    <v>Brentwood, California</v>
    <v>173</v>
    <v>44</v>
    <v>Brentwood, California</v>
    <v>mdp/vdpid/5057976262958514177</v>
  </rv>
  <rv s="0">
    <v>536870912</v>
    <v>Bridgeport, California</v>
    <v>93dfe2de-2da6-0a1e-a556-711629c99857</v>
    <v>en-US</v>
    <v>Map</v>
  </rv>
  <rv s="0">
    <v>536870912</v>
    <v>Mono County</v>
    <v>d910c2bd-3aba-64a3-6715-af31083eaf19</v>
    <v>en-US</v>
    <v>Map</v>
  </rv>
  <rv s="1">
    <fb>56.327347000000003</fb>
    <v>8</v>
  </rv>
  <rv s="2">
    <v>17</v>
    <v>6</v>
    <v>45</v>
    <v>7</v>
    <v>0</v>
    <v>Image of Bridgeport, California</v>
  </rv>
  <rv s="1">
    <fb>38.255833333333001</fb>
    <v>9</v>
  </rv>
  <rv s="4">
    <v>https://www.bing.com/search?q=bridgeport+california&amp;form=skydnc</v>
    <v>Learn more on Bing</v>
  </rv>
  <rv s="1">
    <fb>-119.23138888889</fb>
    <v>9</v>
  </rv>
  <rv s="1">
    <fb>553</fb>
    <v>8</v>
  </rv>
  <rv s="6">
    <v>#VALUE!</v>
    <v>en-US</v>
    <v>93dfe2de-2da6-0a1e-a556-711629c99857</v>
    <v>536870912</v>
    <v>1</v>
    <v>46</v>
    <v>16</v>
    <v>Bridgeport, California</v>
    <v>4</v>
    <v>5</v>
    <v>Map</v>
    <v>6</v>
    <v>7</v>
    <v>1</v>
    <v>176</v>
    <v>177</v>
    <v>4</v>
    <v>Bridgeport is an unincorporated community and census-designated place in Mono County, California, United States. It is the Mono county seat. The population was 553 at the 2020 census. The first post office at Bridgeport opened in 1864. The ZIP ...</v>
    <v>178</v>
    <v>179</v>
    <v>180</v>
    <v>181</v>
    <v>Bridgeport, California</v>
    <v>182</v>
    <v>44</v>
    <v>Bridgeport, California</v>
    <v>mdp/vdpid/5058337106699485185</v>
  </rv>
  <rv s="0">
    <v>536870912</v>
    <v>Carlsbad, California</v>
    <v>5a86a71f-e737-46ba-8386-9c8a9e644fac</v>
    <v>en-US</v>
    <v>Map</v>
  </rv>
  <rv s="0">
    <v>536870912</v>
    <v>San Diego County</v>
    <v>42418ff2-b917-f686-0c9a-63989a9e04e3</v>
    <v>en-US</v>
    <v>Map</v>
  </rv>
  <rv s="1">
    <fb>101.30913200000001</fb>
    <v>8</v>
  </rv>
  <rv s="2">
    <v>18</v>
    <v>6</v>
    <v>47</v>
    <v>7</v>
    <v>0</v>
    <v>Image of Carlsbad, California</v>
  </rv>
  <rv s="1">
    <fb>33.158267000000002</fb>
    <v>9</v>
  </rv>
  <rv s="0">
    <v>805306368</v>
    <v>Keith Blackburn (Mayor)</v>
    <v>e2079507-0c96-f589-df75-f0d7286adae4</v>
    <v>en-US</v>
    <v>Generic</v>
  </rv>
  <rv s="3">
    <v>14</v>
  </rv>
  <rv s="4">
    <v>https://www.bing.com/search?q=carlsbad+california&amp;form=skydnc</v>
    <v>Learn more on Bing</v>
  </rv>
  <rv s="1">
    <fb>-117.35099599999999</fb>
    <v>9</v>
  </rv>
  <rv s="1">
    <fb>114746</fb>
    <v>8</v>
  </rv>
  <rv s="5">
    <v>#VALUE!</v>
    <v>en-US</v>
    <v>5a86a71f-e737-46ba-8386-9c8a9e644fac</v>
    <v>536870912</v>
    <v>1</v>
    <v>48</v>
    <v>2</v>
    <v>Carlsbad, California</v>
    <v>4</v>
    <v>5</v>
    <v>Map</v>
    <v>6</v>
    <v>7</v>
    <v>1</v>
    <v>185</v>
    <v>186</v>
    <v>4</v>
    <v>Carlsbad is a coastal city in the North County region of San Diego County, California, United States. The city is 87 miles south of downtown Los Angeles and 35 miles north of downtown San Diego. As of the 2020 census, the population of the city ...</v>
    <v>187</v>
    <v>188</v>
    <v>190</v>
    <v>191</v>
    <v>192</v>
    <v>Carlsbad, California</v>
    <v>193</v>
    <v>Carlsbad, California</v>
    <v>mdp/vdpid/5073362626143059969</v>
  </rv>
  <rv s="0">
    <v>536870912</v>
    <v>Chester, California</v>
    <v>3d2f307d-7c62-dc67-4fff-5d1e80fbb8ea</v>
    <v>en-US</v>
    <v>Map</v>
  </rv>
  <rv s="0">
    <v>536870912</v>
    <v>Plumas County</v>
    <v>702a3dac-521e-c11b-3a9b-8ba4afeca8d5</v>
    <v>en-US</v>
    <v>Map</v>
  </rv>
  <rv s="1">
    <fb>19.084235</fb>
    <v>8</v>
  </rv>
  <rv s="2">
    <v>19</v>
    <v>6</v>
    <v>49</v>
    <v>7</v>
    <v>0</v>
    <v>Image of Chester, California</v>
  </rv>
  <rv s="1">
    <fb>40.302219999999998</fb>
    <v>9</v>
  </rv>
  <rv s="4">
    <v>https://www.bing.com/search?q=chester+california&amp;form=skydnc</v>
    <v>Learn more on Bing</v>
  </rv>
  <rv s="1">
    <fb>-121.23444000000001</fb>
    <v>9</v>
  </rv>
  <rv s="1">
    <fb>2187</fb>
    <v>8</v>
  </rv>
  <rv s="6">
    <v>#VALUE!</v>
    <v>en-US</v>
    <v>3d2f307d-7c62-dc67-4fff-5d1e80fbb8ea</v>
    <v>536870912</v>
    <v>1</v>
    <v>50</v>
    <v>16</v>
    <v>Chester, California</v>
    <v>4</v>
    <v>5</v>
    <v>Map</v>
    <v>6</v>
    <v>7</v>
    <v>1</v>
    <v>196</v>
    <v>197</v>
    <v>4</v>
    <v>Chester is a census-designated place in Plumas County, California, United States. Chester is located on Lake Almanor, 30 miles north-northwest of Quincy. The town is located along State Route 36. The US Postal Service ZIP code for the community ...</v>
    <v>198</v>
    <v>199</v>
    <v>200</v>
    <v>201</v>
    <v>Chester, California</v>
    <v>202</v>
    <v>44</v>
    <v>Chester, California</v>
    <v>mdp/vdpid/5054649805872037889</v>
  </rv>
  <rv s="0">
    <v>536870912</v>
    <v>Chico, California</v>
    <v>38e2f1e5-0618-4c70-bef3-c49868232b52</v>
    <v>en-US</v>
    <v>Map</v>
  </rv>
  <rv s="0">
    <v>536870912</v>
    <v>Butte County</v>
    <v>be444616-ed2d-8d33-a335-d0db44f57e5b</v>
    <v>en-US</v>
    <v>Map</v>
  </rv>
  <rv s="1">
    <fb>85.787397999999996</fb>
    <v>8</v>
  </rv>
  <rv s="2">
    <v>20</v>
    <v>6</v>
    <v>51</v>
    <v>7</v>
    <v>0</v>
    <v>Image of Chico, California</v>
  </rv>
  <rv s="1">
    <fb>39.74</fb>
    <v>9</v>
  </rv>
  <rv s="0">
    <v>805306368</v>
    <v>Andrew Coolidge (Mayor)</v>
    <v>95b038ad-9454-63d9-e545-79c5e88ca479</v>
    <v>en-US</v>
    <v>Generic</v>
  </rv>
  <rv s="3">
    <v>15</v>
  </rv>
  <rv s="4">
    <v>https://www.bing.com/search?q=chico+california&amp;form=skydnc</v>
    <v>Learn more on Bing</v>
  </rv>
  <rv s="1">
    <fb>-121.83555555556001</fb>
    <v>9</v>
  </rv>
  <rv s="1">
    <fb>101475</fb>
    <v>8</v>
  </rv>
  <rv s="8">
    <v>#VALUE!</v>
    <v>en-US</v>
    <v>38e2f1e5-0618-4c70-bef3-c49868232b52</v>
    <v>536870912</v>
    <v>1</v>
    <v>52</v>
    <v>26</v>
    <v>Chico, California</v>
    <v>4</v>
    <v>5</v>
    <v>Map</v>
    <v>6</v>
    <v>7</v>
    <v>1</v>
    <v>205</v>
    <v>206</v>
    <v>4</v>
    <v>Chico is the most populous city in Butte County, California, United States. Located in the Sacramento Valley region of Northern California, the city had a population of 101,475 in the 2020 census, reflecting an increase from 86,187 in the 2010 ...</v>
    <v>207</v>
    <v>208</v>
    <v>210</v>
    <v>211</v>
    <v>212</v>
    <v>Chico, California</v>
    <v>213</v>
    <v>44</v>
    <v>Chico, California</v>
    <v>mdp/vdpid/5054672610940420097</v>
  </rv>
  <rv s="0">
    <v>536870912</v>
    <v>Chino, California</v>
    <v>0cb450c1-76c8-4eef-88a2-412d655f8083</v>
    <v>en-US</v>
    <v>Map</v>
  </rv>
  <rv s="1">
    <fb>76.863011</fb>
    <v>8</v>
  </rv>
  <rv s="2">
    <v>21</v>
    <v>6</v>
    <v>53</v>
    <v>7</v>
    <v>0</v>
    <v>Image of Chino, California</v>
  </rv>
  <rv s="1">
    <fb>34.017777777778001</fb>
    <v>9</v>
  </rv>
  <rv s="3">
    <v>16</v>
  </rv>
  <rv s="4">
    <v>https://www.bing.com/search?q=chino+california&amp;form=skydnc</v>
    <v>Learn more on Bing</v>
  </rv>
  <rv s="1">
    <fb>-117.69</fb>
    <v>9</v>
  </rv>
  <rv s="1">
    <fb>91403</fb>
    <v>8</v>
  </rv>
  <rv s="5">
    <v>#VALUE!</v>
    <v>en-US</v>
    <v>0cb450c1-76c8-4eef-88a2-412d655f8083</v>
    <v>536870912</v>
    <v>1</v>
    <v>54</v>
    <v>2</v>
    <v>Chino, California</v>
    <v>4</v>
    <v>5</v>
    <v>Map</v>
    <v>6</v>
    <v>7</v>
    <v>1</v>
    <v>95</v>
    <v>216</v>
    <v>4</v>
    <v>Chino is a city in the western end of San Bernardino County, California, United States, with Los Angeles County to its west and Orange County to its south in the Southern California region. Chino is adjacent to Chino Hills. Chino's surroundings ...</v>
    <v>217</v>
    <v>218</v>
    <v>219</v>
    <v>220</v>
    <v>221</v>
    <v>Chino, California</v>
    <v>222</v>
    <v>Chino, California</v>
    <v>mdp/vdpid/5061299609482035201</v>
  </rv>
  <rv s="0">
    <v>536870912</v>
    <v>Chowchilla, California</v>
    <v>789a4b2e-4bd7-fbc9-05ac-f618e79d31d0</v>
    <v>en-US</v>
    <v>Map</v>
  </rv>
  <rv s="0">
    <v>536870912</v>
    <v>Madera County</v>
    <v>8218a47c-3731-3a40-1f78-779eac4c336e</v>
    <v>en-US</v>
    <v>Map</v>
  </rv>
  <rv s="1">
    <fb>28.843533000000001</fb>
    <v>8</v>
  </rv>
  <rv s="2">
    <v>22</v>
    <v>6</v>
    <v>55</v>
    <v>7</v>
    <v>0</v>
    <v>Image of Chowchilla, California</v>
  </rv>
  <rv s="1">
    <fb>37.116666666667001</fb>
    <v>9</v>
  </rv>
  <rv s="4">
    <v>https://www.bing.com/search?q=chowchilla+california&amp;form=skydnc</v>
    <v>Learn more on Bing</v>
  </rv>
  <rv s="1">
    <fb>-120.26666666667001</fb>
    <v>9</v>
  </rv>
  <rv s="1">
    <fb>19039</fb>
    <v>8</v>
  </rv>
  <rv s="6">
    <v>#VALUE!</v>
    <v>en-US</v>
    <v>789a4b2e-4bd7-fbc9-05ac-f618e79d31d0</v>
    <v>536870912</v>
    <v>1</v>
    <v>56</v>
    <v>16</v>
    <v>Chowchilla, California</v>
    <v>4</v>
    <v>5</v>
    <v>Map</v>
    <v>6</v>
    <v>7</v>
    <v>1</v>
    <v>225</v>
    <v>226</v>
    <v>4</v>
    <v>Chowchilla is a city in Madera County, California, United States. The city's population was 19,039 at the 2020 census. Chowchilla is located 16 miles northwest of Madera, at an elevation of 240 feet. The city is the location of two prisons: ...</v>
    <v>227</v>
    <v>228</v>
    <v>229</v>
    <v>230</v>
    <v>Chowchilla, California</v>
    <v>231</v>
    <v>44</v>
    <v>Chowchilla, California</v>
    <v>mdp/vdpid/5058470160055140353</v>
  </rv>
  <rv s="0">
    <v>536870912</v>
    <v>Chula Vista, California</v>
    <v>0d817c36-744c-40e5-8a95-1ce60b171b09</v>
    <v>en-US</v>
    <v>Map</v>
  </rv>
  <rv s="1">
    <fb>134.924575</fb>
    <v>8</v>
  </rv>
  <rv s="2">
    <v>23</v>
    <v>6</v>
    <v>57</v>
    <v>7</v>
    <v>0</v>
    <v>Image of Chula Vista, California</v>
  </rv>
  <rv s="1">
    <fb>32.627777777778</fb>
    <v>9</v>
  </rv>
  <rv s="0">
    <v>805306368</v>
    <v>Mary Salas (Mayor)</v>
    <v>b557d831-43c5-8f6d-095b-d65f0c1f5c89</v>
    <v>en-US</v>
    <v>Generic</v>
  </rv>
  <rv s="3">
    <v>17</v>
  </rv>
  <rv s="4">
    <v>https://www.bing.com/search?q=chula+vista+california&amp;form=skydnc</v>
    <v>Learn more on Bing</v>
  </rv>
  <rv s="1">
    <fb>-117.04805555556</fb>
    <v>9</v>
  </rv>
  <rv s="1">
    <fb>275487</fb>
    <v>8</v>
  </rv>
  <rv s="8">
    <v>#VALUE!</v>
    <v>en-US</v>
    <v>0d817c36-744c-40e5-8a95-1ce60b171b09</v>
    <v>536870912</v>
    <v>1</v>
    <v>58</v>
    <v>26</v>
    <v>Chula Vista, California</v>
    <v>4</v>
    <v>5</v>
    <v>Map</v>
    <v>6</v>
    <v>7</v>
    <v>1</v>
    <v>185</v>
    <v>234</v>
    <v>4</v>
    <v>Chula Vista is a city in San Diego County, California, United States. It is also the second-largest city in the San Diego metropolitan area, the seventh largest city in Southern California, the fifteenth largest city in the state of California, ...</v>
    <v>235</v>
    <v>236</v>
    <v>238</v>
    <v>239</v>
    <v>240</v>
    <v>Chula Vista, California</v>
    <v>241</v>
    <v>44</v>
    <v>Chula Vista, California</v>
    <v>mdp/vdpid/5073431346072780802</v>
  </rv>
  <rv s="0">
    <v>536870912</v>
    <v>Clearlake, California</v>
    <v>d390b9b7-f193-fe75-197d-d07f68a10d2f</v>
    <v>en-US</v>
    <v>Map</v>
  </rv>
  <rv s="0">
    <v>536870912</v>
    <v>Lake County</v>
    <v>b6a9321c-8bd8-fdc2-eb55-dba2860112cc</v>
    <v>en-US</v>
    <v>Map</v>
  </rv>
  <rv s="1">
    <fb>27.403638999999998</fb>
    <v>8</v>
  </rv>
  <rv s="2">
    <v>24</v>
    <v>6</v>
    <v>59</v>
    <v>7</v>
    <v>0</v>
    <v>Image of Clearlake, California</v>
  </rv>
  <rv s="1">
    <fb>38.958333333333002</fb>
    <v>9</v>
  </rv>
  <rv s="4">
    <v>https://www.bing.com/search?q=clearlake+california&amp;form=skydnc</v>
    <v>Learn more on Bing</v>
  </rv>
  <rv s="1">
    <fb>-122.62638888889001</fb>
    <v>9</v>
  </rv>
  <rv s="1">
    <fb>16685</fb>
    <v>8</v>
  </rv>
  <rv s="9">
    <v>#VALUE!</v>
    <v>en-US</v>
    <v>d390b9b7-f193-fe75-197d-d07f68a10d2f</v>
    <v>536870912</v>
    <v>1</v>
    <v>60</v>
    <v>61</v>
    <v>Clearlake, California</v>
    <v>4</v>
    <v>5</v>
    <v>Map</v>
    <v>6</v>
    <v>7</v>
    <v>1</v>
    <v>244</v>
    <v>245</v>
    <v>4</v>
    <v>Clearlake is a city in Lake County, California. Clearlake is 4.5 miles north-northwest of Lower Lake, at an elevation of 1,417 feet. As of the 2020 census, the city had a total population of 16,685, up from 15,250 in 2010. It takes its name from ...</v>
    <v>246</v>
    <v>247</v>
    <v>248</v>
    <v>249</v>
    <v>Clearlake, California</v>
    <v>250</v>
    <v>Clearlake, California</v>
    <v>mdp/vdpid/5057598166619127809</v>
  </rv>
  <rv s="0">
    <v>536870912</v>
    <v>Clovis, California</v>
    <v>fe87dfcf-29c4-401b-8a8f-ae7a2c2e1f1b</v>
    <v>en-US</v>
    <v>Map</v>
  </rv>
  <rv s="0">
    <v>536870912</v>
    <v>Fresno County</v>
    <v>799214f7-3d34-7ff3-9f96-ec77a9470bec</v>
    <v>en-US</v>
    <v>Map</v>
  </rv>
  <rv s="1">
    <fb>62.693928</fb>
    <v>8</v>
  </rv>
  <rv s="2">
    <v>25</v>
    <v>6</v>
    <v>62</v>
    <v>7</v>
    <v>0</v>
    <v>Image of Clovis, California</v>
  </rv>
  <rv s="1">
    <fb>36.825277777777998</fb>
    <v>9</v>
  </rv>
  <rv s="0">
    <v>805306368</v>
    <v>Lynne Ashbeck (Mayor)</v>
    <v>f50e0e8c-f913-fd6d-14e1-22331f4b390a</v>
    <v>en-US</v>
    <v>Generic</v>
  </rv>
  <rv s="0">
    <v>805306368</v>
    <v>Vong Mouanoutoua (Mayor)</v>
    <v>4918d900-7073-9f77-f1be-608b656e1486</v>
    <v>en-US</v>
    <v>Generic</v>
  </rv>
  <rv s="3">
    <v>18</v>
  </rv>
  <rv s="4">
    <v>https://www.bing.com/search?q=clovis+california&amp;form=skydnc</v>
    <v>Learn more on Bing</v>
  </rv>
  <rv s="1">
    <fb>-119.70305555556</fb>
    <v>9</v>
  </rv>
  <rv s="1">
    <fb>120124</fb>
    <v>8</v>
  </rv>
  <rv s="5">
    <v>#VALUE!</v>
    <v>en-US</v>
    <v>fe87dfcf-29c4-401b-8a8f-ae7a2c2e1f1b</v>
    <v>536870912</v>
    <v>1</v>
    <v>63</v>
    <v>2</v>
    <v>Clovis, California</v>
    <v>4</v>
    <v>5</v>
    <v>Map</v>
    <v>6</v>
    <v>7</v>
    <v>1</v>
    <v>253</v>
    <v>254</v>
    <v>4</v>
    <v>Clovis is a city in Fresno County, California, United States. Clovis was established in 1890 as a freight stop for the San Joaquin Valley Railroad by a group of Fresno businessmen and Michigan railroad speculator Marcus Pollasky. The railroad ...</v>
    <v>255</v>
    <v>256</v>
    <v>259</v>
    <v>260</v>
    <v>261</v>
    <v>Clovis, California</v>
    <v>262</v>
    <v>Clovis, California</v>
    <v>mdp/vdpid/5058509192147501057</v>
  </rv>
  <rv s="0">
    <v>536870912</v>
    <v>Concord, California</v>
    <v>b9312104-cfc6-4d98-8fa0-ea41e277cf59</v>
    <v>en-US</v>
    <v>Map</v>
  </rv>
  <rv s="1">
    <fb>79.108534000000006</fb>
    <v>8</v>
  </rv>
  <rv s="2">
    <v>26</v>
    <v>6</v>
    <v>64</v>
    <v>7</v>
    <v>0</v>
    <v>Image of Concord, California</v>
  </rv>
  <rv s="1">
    <fb>37.978055555555997</fb>
    <v>9</v>
  </rv>
  <rv s="0">
    <v>805306368</v>
    <v>Dominic Aliano (Mayor)</v>
    <v>401f3b5d-527b-2b79-6a70-f0c05f653886</v>
    <v>en-US</v>
    <v>Generic</v>
  </rv>
  <rv s="3">
    <v>19</v>
  </rv>
  <rv s="4">
    <v>https://www.bing.com/search?q=concord+california&amp;form=skydnc</v>
    <v>Learn more on Bing</v>
  </rv>
  <rv s="1">
    <fb>-122.03111111110999</fb>
    <v>9</v>
  </rv>
  <rv s="1">
    <fb>125410</fb>
    <v>8</v>
  </rv>
  <rv s="8">
    <v>#VALUE!</v>
    <v>en-US</v>
    <v>b9312104-cfc6-4d98-8fa0-ea41e277cf59</v>
    <v>536870912</v>
    <v>1</v>
    <v>65</v>
    <v>26</v>
    <v>Concord, California</v>
    <v>4</v>
    <v>5</v>
    <v>Map</v>
    <v>6</v>
    <v>7</v>
    <v>1</v>
    <v>26</v>
    <v>265</v>
    <v>4</v>
    <v>Concord is the most populous city in Contra Costa County, California, United States. According to an estimate completed by the United States Census Bureau, the city had a population of 129,295 in 2019, making it the eighth largest city in the ...</v>
    <v>266</v>
    <v>267</v>
    <v>269</v>
    <v>270</v>
    <v>271</v>
    <v>Concord, California</v>
    <v>272</v>
    <v>44</v>
    <v>Concord, California</v>
    <v>mdp/vdpid/5057779830834069505</v>
  </rv>
  <rv s="0">
    <v>536870912</v>
    <v>Corona, California</v>
    <v>fc84b6ea-8092-41f9-a4ef-d6600618e4c0</v>
    <v>en-US</v>
    <v>Map</v>
  </rv>
  <rv s="1">
    <fb>102.44543400000001</fb>
    <v>8</v>
  </rv>
  <rv s="2">
    <v>27</v>
    <v>6</v>
    <v>66</v>
    <v>7</v>
    <v>0</v>
    <v>Image of Corona, California</v>
  </rv>
  <rv s="1">
    <fb>33.866666666667001</fb>
    <v>9</v>
  </rv>
  <rv s="0">
    <v>805306368</v>
    <v>Tom Richins (Mayor)</v>
    <v>7d437e85-c9c8-9038-4e0d-ab7e4ba676c1</v>
    <v>en-US</v>
    <v>Generic</v>
  </rv>
  <rv s="3">
    <v>20</v>
  </rv>
  <rv s="4">
    <v>https://www.bing.com/search?q=corona+california&amp;form=skydnc</v>
    <v>Learn more on Bing</v>
  </rv>
  <rv s="1">
    <fb>-117.56666666667</fb>
    <v>9</v>
  </rv>
  <rv s="1">
    <fb>157136</fb>
    <v>8</v>
  </rv>
  <rv s="8">
    <v>#VALUE!</v>
    <v>en-US</v>
    <v>fc84b6ea-8092-41f9-a4ef-d6600618e4c0</v>
    <v>536870912</v>
    <v>1</v>
    <v>67</v>
    <v>26</v>
    <v>Corona, California</v>
    <v>4</v>
    <v>5</v>
    <v>Map</v>
    <v>6</v>
    <v>7</v>
    <v>1</v>
    <v>106</v>
    <v>275</v>
    <v>4</v>
    <v>Corona is a city in northwestern Riverside County, California, United States. At the 2020 census, the city had a population of 157,136, up from 152,374 at the 2010 census. The cities of Norco and Riverside lie to the north and northeast, Chino ...</v>
    <v>276</v>
    <v>277</v>
    <v>279</v>
    <v>280</v>
    <v>281</v>
    <v>Corona, California</v>
    <v>282</v>
    <v>44</v>
    <v>Corona, California</v>
    <v>mdp/vdpid/5061305244311355393</v>
  </rv>
  <rv s="0">
    <v>536870912</v>
    <v>Covelo, California</v>
    <v>ee9837e5-e959-524b-4774-32af49992b35</v>
    <v>en-US</v>
    <v>Map</v>
  </rv>
  <rv s="0">
    <v>536870912</v>
    <v>Mendocino County</v>
    <v>8d48b748-45f8-324b-7332-f316ee9ca96c</v>
    <v>en-US</v>
    <v>Map</v>
  </rv>
  <rv s="1">
    <fb>18.488907000000001</fb>
    <v>8</v>
  </rv>
  <rv s="2">
    <v>28</v>
    <v>6</v>
    <v>68</v>
    <v>7</v>
    <v>0</v>
    <v>Image of Covelo, California</v>
  </rv>
  <rv s="1">
    <fb>39.793055559999999</fb>
    <v>9</v>
  </rv>
  <rv s="4">
    <v>https://www.bing.com/search?q=covelo+california&amp;form=skydnc</v>
    <v>Learn more on Bing</v>
  </rv>
  <rv s="1">
    <fb>-123.24805556</fb>
    <v>9</v>
  </rv>
  <rv s="1">
    <fb>1394</fb>
    <v>8</v>
  </rv>
  <rv s="6">
    <v>#VALUE!</v>
    <v>en-US</v>
    <v>ee9837e5-e959-524b-4774-32af49992b35</v>
    <v>536870912</v>
    <v>1</v>
    <v>69</v>
    <v>16</v>
    <v>Covelo, California</v>
    <v>4</v>
    <v>5</v>
    <v>Map</v>
    <v>6</v>
    <v>7</v>
    <v>1</v>
    <v>285</v>
    <v>286</v>
    <v>4</v>
    <v>Covelo is a census-designated place in Mendocino County, California, United States. Covelo is located 14 miles east-northeast of Laytonville, at an elevation of 1,398 feet. The population was 1,394 at the 2020 census, up from 1,255 at the 2010 ...</v>
    <v>287</v>
    <v>288</v>
    <v>289</v>
    <v>290</v>
    <v>Covelo, California</v>
    <v>291</v>
    <v>44</v>
    <v>Covelo, California</v>
    <v>mdp/vdpid/5054531529334587393</v>
  </rv>
  <rv s="1">
    <fb>10044</fb>
    <v>8</v>
  </rv>
  <rv s="2">
    <v>29</v>
    <v>6</v>
    <v>70</v>
    <v>7</v>
    <v>0</v>
    <v>Image of Mendocino County, California</v>
  </rv>
  <rv s="0">
    <v>536870912</v>
    <v>Ukiah</v>
    <v>df601104-6aa2-d3db-1c31-5fa33b758b4f</v>
    <v>en-US</v>
    <v>Map</v>
  </rv>
  <rv s="4">
    <v>https://www.bing.com/search?q=mendocino+county+california&amp;form=skydnc</v>
    <v>Learn more on Bing</v>
  </rv>
  <rv s="1">
    <fb>91601</fb>
    <v>8</v>
  </rv>
  <rv s="10">
    <v>#VALUE!</v>
    <v>en-US</v>
    <v>8d48b748-45f8-324b-7332-f316ee9ca96c</v>
    <v>536870912</v>
    <v>1</v>
    <v>71</v>
    <v>72</v>
    <v>Mendocino County, California</v>
    <v>73</v>
    <v>5</v>
    <v>Map</v>
    <v>6</v>
    <v>7</v>
    <v>1</v>
    <v>293</v>
    <v>4</v>
    <v>Mendocino County is a county located on the North Coast of the U.S. state of California. As of the 2020 census, the population was 91,601. The county seat is Ukiah. Mendocino County consists wholly of the Ukiah, CA Micropolitan Statistical Area ...</v>
    <v>294</v>
    <v>295</v>
    <v>296</v>
    <v>Mendocino County, California</v>
    <v>297</v>
    <v>44</v>
    <v>Mendocino County, California</v>
    <v>mdp/vdpid/10035021</v>
  </rv>
  <rv s="1">
    <fb>12.231998000000001</fb>
    <v>8</v>
  </rv>
  <rv s="2">
    <v>30</v>
    <v>6</v>
    <v>74</v>
    <v>7</v>
    <v>0</v>
    <v>Image of Ukiah, California</v>
  </rv>
  <rv s="1">
    <fb>39.148888888888997</fb>
    <v>9</v>
  </rv>
  <rv s="0">
    <v>805306368</v>
    <v>Mari Rodin (Mayor)</v>
    <v>167938b3-c7d0-03e7-53e4-b3597131f7f8</v>
    <v>en-US</v>
    <v>Generic</v>
  </rv>
  <rv s="3">
    <v>21</v>
  </rv>
  <rv s="4">
    <v>https://www.bing.com/search?q=ukiah+california&amp;form=skydnc</v>
    <v>Learn more on Bing</v>
  </rv>
  <rv s="1">
    <fb>-123.20861111111</fb>
    <v>9</v>
  </rv>
  <rv s="1">
    <fb>16607</fb>
    <v>8</v>
  </rv>
  <rv s="8">
    <v>#VALUE!</v>
    <v>en-US</v>
    <v>df601104-6aa2-d3db-1c31-5fa33b758b4f</v>
    <v>536870912</v>
    <v>1</v>
    <v>75</v>
    <v>26</v>
    <v>Ukiah, California</v>
    <v>4</v>
    <v>5</v>
    <v>Map</v>
    <v>6</v>
    <v>7</v>
    <v>1</v>
    <v>285</v>
    <v>299</v>
    <v>4</v>
    <v>Ukiah is the county seat and largest city of Mendocino County, California, with a population of 16,607 at the 2020 census. With its accessible location along the U.S. Route 101 corridor, Ukiah serves as the city center for Mendocino County and ...</v>
    <v>300</v>
    <v>301</v>
    <v>303</v>
    <v>304</v>
    <v>305</v>
    <v>Ukiah, California</v>
    <v>306</v>
    <v>44</v>
    <v>Ukiah, California</v>
    <v>mdp/vdpid/5057558182906298369</v>
  </rv>
  <rv s="0">
    <v>536870912</v>
    <v>Crescent City, California</v>
    <v>0c84cb89-9437-724b-3f22-984d93a77b31</v>
    <v>en-US</v>
    <v>Map</v>
  </rv>
  <rv s="0">
    <v>536870912</v>
    <v>Del Norte County</v>
    <v>f2d91c2a-f812-ede6-5758-fd055e90a601</v>
    <v>en-US</v>
    <v>Map</v>
  </rv>
  <rv s="1">
    <fb>6.2547379999999997</fb>
    <v>8</v>
  </rv>
  <rv s="2">
    <v>31</v>
    <v>6</v>
    <v>76</v>
    <v>7</v>
    <v>0</v>
    <v>Image of Crescent City, California</v>
  </rv>
  <rv s="1">
    <fb>41.756111111111103</fb>
    <v>9</v>
  </rv>
  <rv s="0">
    <v>805306368</v>
    <v>Jason Greenough (Mayor)</v>
    <v>3dffcbd8-48a5-ec3b-65e9-0d38120ab282</v>
    <v>en-US</v>
    <v>Generic</v>
  </rv>
  <rv s="3">
    <v>22</v>
  </rv>
  <rv s="4">
    <v>https://www.bing.com/search?q=crescent+city+california&amp;form=skydnc</v>
    <v>Learn more on Bing</v>
  </rv>
  <rv s="1">
    <fb>-124.20166666666699</fb>
    <v>9</v>
  </rv>
  <rv s="1">
    <fb>6673</fb>
    <v>8</v>
  </rv>
  <rv s="5">
    <v>#VALUE!</v>
    <v>en-US</v>
    <v>0c84cb89-9437-724b-3f22-984d93a77b31</v>
    <v>536870912</v>
    <v>1</v>
    <v>77</v>
    <v>2</v>
    <v>Crescent City, California</v>
    <v>4</v>
    <v>5</v>
    <v>Map</v>
    <v>6</v>
    <v>7</v>
    <v>1</v>
    <v>309</v>
    <v>310</v>
    <v>4</v>
    <v>Crescent City is the only incorporated city in Del Norte County, California; it is also the county seat. Named for the crescent-shaped stretch of sandy beach south of the city, Crescent City had a total population of 6,673 in the 2020 census, ...</v>
    <v>311</v>
    <v>312</v>
    <v>314</v>
    <v>315</v>
    <v>316</v>
    <v>Crescent City, California</v>
    <v>317</v>
    <v>Crescent City, California</v>
    <v>mdp/vdpid/5048168460224299009</v>
  </rv>
  <rv s="0">
    <v>536870912</v>
    <v>Crescent Mills, California</v>
    <v>7f53afa1-2f70-257a-529d-c0954fb3ed56</v>
    <v>en-US</v>
    <v>Map</v>
  </rv>
  <rv s="1">
    <fb>10.985561000000001</fb>
    <v>8</v>
  </rv>
  <rv s="2">
    <v>32</v>
    <v>6</v>
    <v>78</v>
    <v>7</v>
    <v>0</v>
    <v>Image of Crescent Mills, California</v>
  </rv>
  <rv s="1">
    <fb>40.09638889</fb>
    <v>9</v>
  </rv>
  <rv s="4">
    <v>https://www.bing.com/search?q=crescent+mills+california&amp;form=skydnc</v>
    <v>Learn more on Bing</v>
  </rv>
  <rv s="1">
    <fb>-120.91277778</fb>
    <v>9</v>
  </rv>
  <rv s="1">
    <fb>206</fb>
    <v>8</v>
  </rv>
  <rv s="6">
    <v>#VALUE!</v>
    <v>en-US</v>
    <v>7f53afa1-2f70-257a-529d-c0954fb3ed56</v>
    <v>536870912</v>
    <v>1</v>
    <v>79</v>
    <v>16</v>
    <v>Crescent Mills, California</v>
    <v>4</v>
    <v>5</v>
    <v>Map</v>
    <v>6</v>
    <v>7</v>
    <v>1</v>
    <v>196</v>
    <v>320</v>
    <v>4</v>
    <v>Crescent Mills is a census-designated place in Plumas County, California, United States. Crescent Mills is located 3.5 miles southeast of Greenville. The population was 196 at the 2010 census, down from 258 at the 2000 census.</v>
    <v>321</v>
    <v>322</v>
    <v>323</v>
    <v>324</v>
    <v>Crescent Mills, California</v>
    <v>325</v>
    <v>44</v>
    <v>Crescent Mills, California</v>
    <v>mdp/vdpid/5055032607784304641</v>
  </rv>
  <rv s="0">
    <v>536870912</v>
    <v>Davis, California</v>
    <v>8ecb8ef2-8916-84e8-b639-ecfb287c259c</v>
    <v>en-US</v>
    <v>Map</v>
  </rv>
  <rv s="0">
    <v>536870912</v>
    <v>Yolo County</v>
    <v>ce3c30e2-56ff-5198-048e-3f947f7011c1</v>
    <v>en-US</v>
    <v>Map</v>
  </rv>
  <rv s="1">
    <fb>25.697724999999998</fb>
    <v>8</v>
  </rv>
  <rv s="2">
    <v>33</v>
    <v>6</v>
    <v>80</v>
    <v>7</v>
    <v>0</v>
    <v>Image of Davis, California</v>
  </rv>
  <rv s="1">
    <fb>38.553888888888999</fb>
    <v>9</v>
  </rv>
  <rv s="0">
    <v>805306368</v>
    <v>Will Arnold (Mayor)</v>
    <v>1241446d-10d8-90f6-c542-233abc95cab6</v>
    <v>en-US</v>
    <v>Generic</v>
  </rv>
  <rv s="3">
    <v>23</v>
  </rv>
  <rv s="4">
    <v>https://www.bing.com/search?q=davis+california&amp;form=skydnc</v>
    <v>Learn more on Bing</v>
  </rv>
  <rv s="1">
    <fb>-121.73805555556</fb>
    <v>9</v>
  </rv>
  <rv s="1">
    <fb>66850</fb>
    <v>8</v>
  </rv>
  <rv s="8">
    <v>#VALUE!</v>
    <v>en-US</v>
    <v>8ecb8ef2-8916-84e8-b639-ecfb287c259c</v>
    <v>536870912</v>
    <v>1</v>
    <v>81</v>
    <v>26</v>
    <v>Davis, California</v>
    <v>4</v>
    <v>5</v>
    <v>Map</v>
    <v>6</v>
    <v>7</v>
    <v>1</v>
    <v>328</v>
    <v>329</v>
    <v>4</v>
    <v>Davis is the most populous city in Yolo County, California, United States. Located in the Sacramento Valley region of Northern California, the city had a population of 66,850 in 2020, not including the on-campus population of the University of ...</v>
    <v>330</v>
    <v>331</v>
    <v>333</v>
    <v>334</v>
    <v>335</v>
    <v>Davis, California</v>
    <v>336</v>
    <v>44</v>
    <v>Davis, California</v>
    <v>mdp/vdpid/5057765681869619201</v>
  </rv>
  <rv s="0">
    <v>536870912</v>
    <v>Downey, California</v>
    <v>73473ca2-5bd0-43fb-96c7-34b627958701</v>
    <v>en-US</v>
    <v>Map</v>
  </rv>
  <rv s="1">
    <fb>32.551170999999997</fb>
    <v>8</v>
  </rv>
  <rv s="2">
    <v>34</v>
    <v>6</v>
    <v>82</v>
    <v>7</v>
    <v>0</v>
    <v>Image of Downey, California</v>
  </rv>
  <rv s="1">
    <fb>33.938055555555998</fb>
    <v>9</v>
  </rv>
  <rv s="0">
    <v>805306368</v>
    <v>Claudia Frometa (Mayor)</v>
    <v>cd1de7d3-fef1-1404-f45c-2b756d623dc2</v>
    <v>en-US</v>
    <v>Generic</v>
  </rv>
  <rv s="3">
    <v>24</v>
  </rv>
  <rv s="4">
    <v>https://www.bing.com/search?q=downey+california&amp;form=skydnc</v>
    <v>Learn more on Bing</v>
  </rv>
  <rv s="1">
    <fb>-118.13083333333</fb>
    <v>9</v>
  </rv>
  <rv s="1">
    <fb>114355</fb>
    <v>8</v>
  </rv>
  <rv s="8">
    <v>#VALUE!</v>
    <v>en-US</v>
    <v>73473ca2-5bd0-43fb-96c7-34b627958701</v>
    <v>536870912</v>
    <v>1</v>
    <v>83</v>
    <v>26</v>
    <v>Downey, California</v>
    <v>4</v>
    <v>5</v>
    <v>Map</v>
    <v>6</v>
    <v>7</v>
    <v>1</v>
    <v>73</v>
    <v>339</v>
    <v>4</v>
    <v>Downey is a city located in Southeast Los Angeles County, California, United States, 13 mi southeast of Downtown Los Angeles. It is considered part of the Gateway Cities. The city is the birthplace of the Apollo space program. It is also the ...</v>
    <v>340</v>
    <v>341</v>
    <v>343</v>
    <v>344</v>
    <v>345</v>
    <v>Downey, California</v>
    <v>346</v>
    <v>44</v>
    <v>Downey, California</v>
    <v>mdp/vdpid/5059789773053362177</v>
  </rv>
  <rv s="0">
    <v>536870912</v>
    <v>El Cajon, California</v>
    <v>5dac1dbf-80fb-4385-a241-253786373165</v>
    <v>en-US</v>
    <v>Map</v>
  </rv>
  <rv s="1">
    <fb>37.516309999999997</fb>
    <v>8</v>
  </rv>
  <rv s="2">
    <v>35</v>
    <v>6</v>
    <v>84</v>
    <v>7</v>
    <v>0</v>
    <v>Image of El Cajon, California</v>
  </rv>
  <rv s="1">
    <fb>32.798333333332998</fb>
    <v>9</v>
  </rv>
  <rv s="0">
    <v>805306368</v>
    <v>Bill Wells (Mayor)</v>
    <v>9e45e934-b62c-e647-5548-777eac4f24ed</v>
    <v>en-US</v>
    <v>Generic</v>
  </rv>
  <rv s="3">
    <v>25</v>
  </rv>
  <rv s="4">
    <v>https://www.bing.com/search?q=el+cajon+california&amp;form=skydnc</v>
    <v>Learn more on Bing</v>
  </rv>
  <rv s="1">
    <fb>-116.96</fb>
    <v>9</v>
  </rv>
  <rv s="1">
    <fb>106215</fb>
    <v>8</v>
  </rv>
  <rv s="5">
    <v>#VALUE!</v>
    <v>en-US</v>
    <v>5dac1dbf-80fb-4385-a241-253786373165</v>
    <v>536870912</v>
    <v>1</v>
    <v>85</v>
    <v>2</v>
    <v>El Cajon, California</v>
    <v>4</v>
    <v>5</v>
    <v>Map</v>
    <v>6</v>
    <v>7</v>
    <v>1</v>
    <v>185</v>
    <v>349</v>
    <v>4</v>
    <v>El Cajon is a city in San Diego County, California, United States, 17 mi east of downtown San Diego. The city takes its name from Rancho El Cajón, which was named for the box-like shape of the valley that surrounds the city, and the origin of ...</v>
    <v>350</v>
    <v>351</v>
    <v>353</v>
    <v>354</v>
    <v>355</v>
    <v>El Cajon, California</v>
    <v>356</v>
    <v>El Cajon, California</v>
    <v>mdp/vdpid/5073424680317091842</v>
  </rv>
  <rv s="0">
    <v>536870912</v>
    <v>El Centro, California</v>
    <v>cde054f0-73b6-8758-ad59-e062877df3c8</v>
    <v>en-US</v>
    <v>Map</v>
  </rv>
  <rv s="1">
    <fb>29.058855999999999</fb>
    <v>8</v>
  </rv>
  <rv s="2">
    <v>36</v>
    <v>6</v>
    <v>86</v>
    <v>7</v>
    <v>0</v>
    <v>Image of El Centro, California</v>
  </rv>
  <rv s="1">
    <fb>32.792000000000002</fb>
    <v>9</v>
  </rv>
  <rv s="0">
    <v>805306368</v>
    <v>Martha Cardenas-Singh (Mayor)</v>
    <v>3c40f653-0c72-412a-1b4c-e6a933d67f0d</v>
    <v>en-US</v>
    <v>Generic</v>
  </rv>
  <rv s="3">
    <v>26</v>
  </rv>
  <rv s="4">
    <v>https://www.bing.com/search?q=el+centro+california&amp;form=skydnc</v>
    <v>Learn more on Bing</v>
  </rv>
  <rv s="1">
    <fb>-115.56305140000001</fb>
    <v>9</v>
  </rv>
  <rv s="1">
    <fb>44322</fb>
    <v>8</v>
  </rv>
  <rv s="8">
    <v>#VALUE!</v>
    <v>en-US</v>
    <v>cde054f0-73b6-8758-ad59-e062877df3c8</v>
    <v>536870912</v>
    <v>1</v>
    <v>87</v>
    <v>26</v>
    <v>El Centro, California</v>
    <v>4</v>
    <v>5</v>
    <v>Map</v>
    <v>6</v>
    <v>7</v>
    <v>1</v>
    <v>156</v>
    <v>359</v>
    <v>4</v>
    <v>El Centro is a city and county seat of Imperial County, California, United States. El Centro is the largest city in the Imperial Valley, the east anchor of the Southern California Border Region, and the core urban area and principal city of the ...</v>
    <v>360</v>
    <v>361</v>
    <v>363</v>
    <v>364</v>
    <v>365</v>
    <v>El Centro, California</v>
    <v>366</v>
    <v>44</v>
    <v>El Centro, California</v>
    <v>mdp/vdpid/5073565770110205953</v>
  </rv>
  <rv s="0">
    <v>536870912</v>
    <v>Elk Grove, California</v>
    <v>77d9df10-de67-46b1-bb92-8ce03f292afb</v>
    <v>en-US</v>
    <v>Map</v>
  </rv>
  <rv s="0">
    <v>536870912</v>
    <v>Sacramento County</v>
    <v>15bddd9e-2155-d994-e677-a6f0403dc854</v>
    <v>en-US</v>
    <v>Map</v>
  </rv>
  <rv s="1">
    <fb>109.4075</fb>
    <v>8</v>
  </rv>
  <rv s="2">
    <v>37</v>
    <v>6</v>
    <v>88</v>
    <v>7</v>
    <v>0</v>
    <v>Image of Elk Grove, California</v>
  </rv>
  <rv s="1">
    <fb>38.438333333332999</fb>
    <v>9</v>
  </rv>
  <rv s="0">
    <v>805306368</v>
    <v>Bobbie Singh-Allen (Mayor)</v>
    <v>a72a2480-5111-3844-0d2e-192f2637ca6d</v>
    <v>en-US</v>
    <v>Generic</v>
  </rv>
  <rv s="3">
    <v>27</v>
  </rv>
  <rv s="4">
    <v>https://www.bing.com/search?q=elk+grove+california&amp;form=skydnc</v>
    <v>Learn more on Bing</v>
  </rv>
  <rv s="1">
    <fb>-121.38194444443999</fb>
    <v>9</v>
  </rv>
  <rv s="1">
    <fb>176124</fb>
    <v>8</v>
  </rv>
  <rv s="5">
    <v>#VALUE!</v>
    <v>en-US</v>
    <v>77d9df10-de67-46b1-bb92-8ce03f292afb</v>
    <v>536870912</v>
    <v>1</v>
    <v>89</v>
    <v>2</v>
    <v>Elk Grove, California</v>
    <v>4</v>
    <v>5</v>
    <v>Map</v>
    <v>6</v>
    <v>7</v>
    <v>1</v>
    <v>369</v>
    <v>370</v>
    <v>4</v>
    <v>Elk Grove is a city in Sacramento County, California, United States. Located just south of the state capital of Sacramento, it is part of the Sacramento metropolitan area. As of the 2020 Census, the population of the city was 176,124. A 2021 ...</v>
    <v>371</v>
    <v>372</v>
    <v>374</v>
    <v>375</v>
    <v>376</v>
    <v>Elk Grove, California</v>
    <v>377</v>
    <v>Elk Grove, California</v>
    <v>mdp/vdpid/5057797258100080641</v>
  </rv>
  <rv s="0">
    <v>536870912</v>
    <v>Escondido, California</v>
    <v>c5fab3d9-87ce-4cb6-a4af-fd5d622a1a08</v>
    <v>en-US</v>
    <v>Map</v>
  </rv>
  <rv s="1">
    <fb>96.470988000000006</fb>
    <v>8</v>
  </rv>
  <rv s="2">
    <v>38</v>
    <v>6</v>
    <v>90</v>
    <v>7</v>
    <v>0</v>
    <v>Image of Escondido, California</v>
  </rv>
  <rv s="1">
    <fb>33.124721999999998</fb>
    <v>9</v>
  </rv>
  <rv s="0">
    <v>805306368</v>
    <v>Dane White (Mayor)</v>
    <v>ce11a478-ba37-91e6-1ee1-8fa389414987</v>
    <v>en-US</v>
    <v>Generic</v>
  </rv>
  <rv s="3">
    <v>28</v>
  </rv>
  <rv s="4">
    <v>https://www.bing.com/search?q=escondido+california&amp;form=skydnc</v>
    <v>Learn more on Bing</v>
  </rv>
  <rv s="1">
    <fb>-117.080833</fb>
    <v>9</v>
  </rv>
  <rv s="1">
    <fb>151038</fb>
    <v>8</v>
  </rv>
  <rv s="8">
    <v>#VALUE!</v>
    <v>en-US</v>
    <v>c5fab3d9-87ce-4cb6-a4af-fd5d622a1a08</v>
    <v>536870912</v>
    <v>1</v>
    <v>91</v>
    <v>26</v>
    <v>Escondido, California</v>
    <v>4</v>
    <v>5</v>
    <v>Map</v>
    <v>6</v>
    <v>7</v>
    <v>1</v>
    <v>185</v>
    <v>380</v>
    <v>4</v>
    <v>Escondido is a city in San Diego County, California, United States. Located in the North County region, it was incorporated in 1888, and is one of the oldest cities in San Diego County. It has a population of 151,038 as of the 2020 census.</v>
    <v>381</v>
    <v>382</v>
    <v>384</v>
    <v>385</v>
    <v>386</v>
    <v>Escondido, California</v>
    <v>387</v>
    <v>44</v>
    <v>Escondido, California</v>
    <v>mdp/vdpid/5073366200075943938</v>
  </rv>
  <rv s="0">
    <v>536870912</v>
    <v>Eureka, California</v>
    <v>7113e716-c6b1-be40-76db-85caf897b796</v>
    <v>en-US</v>
    <v>Map</v>
  </rv>
  <rv s="0">
    <v>536870912</v>
    <v>Humboldt County</v>
    <v>c220c2ae-9959-ae24-3ec4-eed7a2a91d33</v>
    <v>en-US</v>
    <v>Map</v>
  </rv>
  <rv s="1">
    <fb>37.434815999999998</fb>
    <v>8</v>
  </rv>
  <rv s="2">
    <v>39</v>
    <v>6</v>
    <v>92</v>
    <v>7</v>
    <v>0</v>
    <v>Image of Eureka, California</v>
  </rv>
  <rv s="1">
    <fb>40.801944444443997</fb>
    <v>9</v>
  </rv>
  <rv s="0">
    <v>805306368</v>
    <v>Susan Seaman (Mayor)</v>
    <v>ebd49195-1181-52d9-df7b-8044e4959195</v>
    <v>en-US</v>
    <v>Generic</v>
  </rv>
  <rv s="3">
    <v>29</v>
  </rv>
  <rv s="4">
    <v>https://www.bing.com/search?q=eureka+california&amp;form=skydnc</v>
    <v>Learn more on Bing</v>
  </rv>
  <rv s="1">
    <fb>-124.16361111111</fb>
    <v>9</v>
  </rv>
  <rv s="1">
    <fb>26512</fb>
    <v>8</v>
  </rv>
  <rv s="8">
    <v>#VALUE!</v>
    <v>en-US</v>
    <v>7113e716-c6b1-be40-76db-85caf897b796</v>
    <v>536870912</v>
    <v>1</v>
    <v>93</v>
    <v>26</v>
    <v>Eureka, California</v>
    <v>4</v>
    <v>5</v>
    <v>Map</v>
    <v>6</v>
    <v>7</v>
    <v>1</v>
    <v>390</v>
    <v>391</v>
    <v>4</v>
    <v>Eureka is a city and the county seat of Humboldt County, located on the North Coast of California. The city is located on U.S. Route 101 on the shores of Humboldt Bay, 270 miles north of San Francisco and 100 miles south of the Oregon border. At ...</v>
    <v>392</v>
    <v>393</v>
    <v>395</v>
    <v>396</v>
    <v>397</v>
    <v>Eureka, California</v>
    <v>398</v>
    <v>44</v>
    <v>Eureka, California</v>
    <v>mdp/vdpid/5048432261343477761</v>
  </rv>
  <rv s="0">
    <v>536870912</v>
    <v>Fairfield, California</v>
    <v>1b75556d-bb63-49bb-8aa0-198685a92fc3</v>
    <v>en-US</v>
    <v>Map</v>
  </rv>
  <rv s="0">
    <v>536870912</v>
    <v>Solano County</v>
    <v>11da0e1e-2049-6442-06d3-4f2754ac8575</v>
    <v>en-US</v>
    <v>Map</v>
  </rv>
  <rv s="1">
    <fb>106.66835399999999</fb>
    <v>8</v>
  </rv>
  <rv s="2">
    <v>40</v>
    <v>6</v>
    <v>94</v>
    <v>7</v>
    <v>0</v>
    <v>Image of Fairfield, California</v>
  </rv>
  <rv s="1">
    <fb>38.257777777778003</fb>
    <v>9</v>
  </rv>
  <rv s="3">
    <v>30</v>
  </rv>
  <rv s="4">
    <v>https://www.bing.com/search?q=fairfield+california&amp;form=skydnc</v>
    <v>Learn more on Bing</v>
  </rv>
  <rv s="1">
    <fb>-122.05416666667</fb>
    <v>9</v>
  </rv>
  <rv s="1">
    <fb>119881</fb>
    <v>8</v>
  </rv>
  <rv s="5">
    <v>#VALUE!</v>
    <v>en-US</v>
    <v>1b75556d-bb63-49bb-8aa0-198685a92fc3</v>
    <v>536870912</v>
    <v>1</v>
    <v>95</v>
    <v>2</v>
    <v>Fairfield, California</v>
    <v>4</v>
    <v>5</v>
    <v>Map</v>
    <v>6</v>
    <v>7</v>
    <v>1</v>
    <v>401</v>
    <v>402</v>
    <v>4</v>
    <v>Fairfield is a city in and the county seat of Solano County, California, United States, in the North Bay sub-region of the San Francisco Bay Area. It is generally considered the midpoint between the cities of San Francisco and Sacramento, ...</v>
    <v>403</v>
    <v>404</v>
    <v>405</v>
    <v>406</v>
    <v>407</v>
    <v>Fairfield, California</v>
    <v>408</v>
    <v>Fairfield, California</v>
    <v>mdp/vdpid/5057774232327421954</v>
  </rv>
  <rv s="0">
    <v>536870912</v>
    <v>Folsom, California</v>
    <v>b1ef6511-df0f-4739-bdd6-9dc27d46322d</v>
    <v>en-US</v>
    <v>Map</v>
  </rv>
  <rv s="1">
    <fb>77.869967000000003</fb>
    <v>8</v>
  </rv>
  <rv s="2">
    <v>41</v>
    <v>6</v>
    <v>96</v>
    <v>7</v>
    <v>0</v>
    <v>Image of Folsom, California</v>
  </rv>
  <rv s="1">
    <fb>38.672222222221997</fb>
    <v>9</v>
  </rv>
  <rv s="0">
    <v>805306368</v>
    <v>Rosario Rodriguez (Mayor)</v>
    <v>818001d4-b56b-d82a-31e2-31a65aca71fa</v>
    <v>en-US</v>
    <v>Generic</v>
  </rv>
  <rv s="3">
    <v>31</v>
  </rv>
  <rv s="4">
    <v>https://www.bing.com/search?q=folsom+california&amp;form=skydnc</v>
    <v>Learn more on Bing</v>
  </rv>
  <rv s="1">
    <fb>-121.15777777778</fb>
    <v>9</v>
  </rv>
  <rv s="1">
    <fb>80454</fb>
    <v>8</v>
  </rv>
  <rv s="5">
    <v>#VALUE!</v>
    <v>en-US</v>
    <v>b1ef6511-df0f-4739-bdd6-9dc27d46322d</v>
    <v>536870912</v>
    <v>1</v>
    <v>97</v>
    <v>2</v>
    <v>Folsom, California</v>
    <v>4</v>
    <v>5</v>
    <v>Map</v>
    <v>6</v>
    <v>7</v>
    <v>1</v>
    <v>369</v>
    <v>411</v>
    <v>4</v>
    <v>Folsom is a city in Sacramento County, California, United States. The population was 80,454 at the 2020 census.</v>
    <v>412</v>
    <v>413</v>
    <v>415</v>
    <v>416</v>
    <v>417</v>
    <v>Folsom, California</v>
    <v>418</v>
    <v>Folsom, California</v>
    <v>mdp/vdpid/5057798115415818241</v>
  </rv>
  <rv s="0">
    <v>536870912</v>
    <v>Fort Bragg, California</v>
    <v>5e724283-78a0-d00d-cce4-4f73c28e38b0</v>
    <v>en-US</v>
    <v>Map</v>
  </rv>
  <rv s="1">
    <fb>7.2066410000000003</fb>
    <v>8</v>
  </rv>
  <rv s="2">
    <v>42</v>
    <v>6</v>
    <v>98</v>
    <v>7</v>
    <v>0</v>
    <v>Image of Fort Bragg, California</v>
  </rv>
  <rv s="1">
    <fb>39.445833333332999</fb>
    <v>9</v>
  </rv>
  <rv s="0">
    <v>805306368</v>
    <v>Bernie Norvell (Mayor)</v>
    <v>d823c5e8-02f5-81fe-e740-bb1afa5f0120</v>
    <v>en-US</v>
    <v>Generic</v>
  </rv>
  <rv s="3">
    <v>32</v>
  </rv>
  <rv s="4">
    <v>https://www.bing.com/search?q=fort+bragg+california&amp;form=skydnc</v>
    <v>Learn more on Bing</v>
  </rv>
  <rv s="1">
    <fb>-123.80527777778001</fb>
    <v>9</v>
  </rv>
  <rv s="1">
    <fb>6983</fb>
    <v>8</v>
  </rv>
  <rv s="8">
    <v>#VALUE!</v>
    <v>en-US</v>
    <v>5e724283-78a0-d00d-cce4-4f73c28e38b0</v>
    <v>536870912</v>
    <v>1</v>
    <v>99</v>
    <v>26</v>
    <v>Fort Bragg, California</v>
    <v>4</v>
    <v>5</v>
    <v>Map</v>
    <v>6</v>
    <v>7</v>
    <v>1</v>
    <v>285</v>
    <v>421</v>
    <v>4</v>
    <v>Fort Bragg is a city along the Pacific Coast of California along Shoreline Highway in Mendocino County. The city is 24 miles west of Willits, at an elevation of 85 feet. Its population was 6,983 at the 2020 census.</v>
    <v>422</v>
    <v>423</v>
    <v>425</v>
    <v>426</v>
    <v>427</v>
    <v>Fort Bragg, California</v>
    <v>428</v>
    <v>44</v>
    <v>Fort Bragg, California</v>
    <v>mdp/vdpid/5048534756594024449</v>
  </rv>
  <rv s="0">
    <v>536870912</v>
    <v>Fremont, California</v>
    <v>6dd99217-3dae-453c-a241-2a1c261c277c</v>
    <v>en-US</v>
    <v>Map</v>
  </rv>
  <rv s="1">
    <fb>226.92458099999999</fb>
    <v>8</v>
  </rv>
  <rv s="2">
    <v>43</v>
    <v>6</v>
    <v>100</v>
    <v>7</v>
    <v>0</v>
    <v>Image of Fremont, California</v>
  </rv>
  <rv s="1">
    <fb>37.543055555556002</fb>
    <v>9</v>
  </rv>
  <rv s="3">
    <v>33</v>
  </rv>
  <rv s="4">
    <v>https://www.bing.com/search?q=fremont+california&amp;form=skydnc</v>
    <v>Learn more on Bing</v>
  </rv>
  <rv s="1">
    <fb>-121.98277777778</fb>
    <v>9</v>
  </rv>
  <rv s="1">
    <fb>230504</fb>
    <v>8</v>
  </rv>
  <rv s="8">
    <v>#VALUE!</v>
    <v>en-US</v>
    <v>6dd99217-3dae-453c-a241-2a1c261c277c</v>
    <v>536870912</v>
    <v>1</v>
    <v>101</v>
    <v>26</v>
    <v>Fremont, California</v>
    <v>4</v>
    <v>5</v>
    <v>Map</v>
    <v>6</v>
    <v>7</v>
    <v>1</v>
    <v>117</v>
    <v>431</v>
    <v>4</v>
    <v>Fremont is a city in Alameda County, California, United States. Located in the East Bay region of the Bay Area, Fremont has a population of 230,504 as of 2020, making it the fourth most populous city in the Bay Area, behind San Jose, San ...</v>
    <v>432</v>
    <v>433</v>
    <v>434</v>
    <v>435</v>
    <v>436</v>
    <v>Fremont, California</v>
    <v>437</v>
    <v>44</v>
    <v>Fremont, California</v>
    <v>mdp/vdpid/5057991349316354050</v>
  </rv>
  <rv s="0">
    <v>536870912</v>
    <v>Fresno, California</v>
    <v>fe3757e6-07fe-46f1-89ca-54b2f9a6572e</v>
    <v>en-US</v>
    <v>Map</v>
  </rv>
  <rv s="1">
    <fb>296.99960399999998</fb>
    <v>8</v>
  </rv>
  <rv s="2">
    <v>44</v>
    <v>6</v>
    <v>102</v>
    <v>7</v>
    <v>0</v>
    <v>Image of Fresno, California</v>
  </rv>
  <rv s="1">
    <fb>36.781666666667</fb>
    <v>9</v>
  </rv>
  <rv s="0">
    <v>805306368</v>
    <v>Jerry Dyer (Mayor)</v>
    <v>0ba15fce-c6ad-c490-b336-509e3e5da1ec</v>
    <v>en-US</v>
    <v>Generic</v>
  </rv>
  <rv s="3">
    <v>34</v>
  </rv>
  <rv s="4">
    <v>https://www.bing.com/search?q=fresno+california&amp;form=skydnc</v>
    <v>Learn more on Bing</v>
  </rv>
  <rv s="1">
    <fb>-119.79222222222</fb>
    <v>9</v>
  </rv>
  <rv s="1">
    <fb>542107</fb>
    <v>8</v>
  </rv>
  <rv s="5">
    <v>#VALUE!</v>
    <v>en-US</v>
    <v>fe3757e6-07fe-46f1-89ca-54b2f9a6572e</v>
    <v>536870912</v>
    <v>1</v>
    <v>103</v>
    <v>2</v>
    <v>Fresno, California</v>
    <v>4</v>
    <v>5</v>
    <v>Map</v>
    <v>6</v>
    <v>7</v>
    <v>1</v>
    <v>253</v>
    <v>440</v>
    <v>4</v>
    <v>Fresno is a major city in the San Joaquin Valley of California, United States. It is the county seat of Fresno County and the largest city in the greater Central Valley region. It covers about 115 square miles and had a population of 542,107 as ...</v>
    <v>441</v>
    <v>442</v>
    <v>444</v>
    <v>445</v>
    <v>446</v>
    <v>Fresno, California</v>
    <v>447</v>
    <v>Fresno, California</v>
    <v>mdp/vdpid/5058524128785465345</v>
  </rv>
  <rv s="0">
    <v>536870912</v>
    <v>Furnace Creek, California</v>
    <v>e7182ce3-696e-7888-d154-d68a32d80cab</v>
    <v>en-US</v>
    <v>Map</v>
  </rv>
  <rv s="1">
    <fb>81.487361000000007</fb>
    <v>8</v>
  </rv>
  <rv s="2">
    <v>45</v>
    <v>6</v>
    <v>104</v>
    <v>7</v>
    <v>0</v>
    <v>Image of Furnace Creek, California</v>
  </rv>
  <rv s="1">
    <fb>36.458055555556001</fb>
    <v>9</v>
  </rv>
  <rv s="4">
    <v>https://www.bing.com/search?q=furnace+creek+california&amp;form=skydnc</v>
    <v>Learn more on Bing</v>
  </rv>
  <rv s="1">
    <fb>-116.87083333333</fb>
    <v>9</v>
  </rv>
  <rv s="1">
    <fb>136</fb>
    <v>8</v>
  </rv>
  <rv s="6">
    <v>#VALUE!</v>
    <v>en-US</v>
    <v>e7182ce3-696e-7888-d154-d68a32d80cab</v>
    <v>536870912</v>
    <v>1</v>
    <v>105</v>
    <v>16</v>
    <v>Furnace Creek, California</v>
    <v>4</v>
    <v>5</v>
    <v>Map</v>
    <v>6</v>
    <v>7</v>
    <v>1</v>
    <v>128</v>
    <v>450</v>
    <v>4</v>
    <v>Furnace Creek, formerly Greenland Ranch, is a census-designated place in Inyo County, California, United States. The population was 136 at the 2020 census, up from 24 at the 2010 census. The elevation of the village is 190 feet below sea level. ...</v>
    <v>451</v>
    <v>452</v>
    <v>453</v>
    <v>454</v>
    <v>Furnace Creek, California</v>
    <v>455</v>
    <v>44</v>
    <v>Furnace Creek, California</v>
    <v>mdp/vdpid/5060967421058220033</v>
  </rv>
  <rv s="0">
    <v>536870912</v>
    <v>Gilroy, California</v>
    <v>a5e05be1-7114-8a30-3237-4b9a579860ee</v>
    <v>en-US</v>
    <v>Map</v>
  </rv>
  <rv s="0">
    <v>536870912</v>
    <v>Santa Clara County</v>
    <v>81e61b88-4e05-c5fc-326a-24657ef6377a</v>
    <v>en-US</v>
    <v>Map</v>
  </rv>
  <rv s="1">
    <fb>41.834761999999998</fb>
    <v>8</v>
  </rv>
  <rv s="2">
    <v>46</v>
    <v>6</v>
    <v>106</v>
    <v>7</v>
    <v>0</v>
    <v>Image of Gilroy, California</v>
  </rv>
  <rv s="1">
    <fb>37.011944444443998</fb>
    <v>9</v>
  </rv>
  <rv s="0">
    <v>805306368</v>
    <v>Marie Blankley (Mayor)</v>
    <v>80892345-55d9-2389-10e7-ba892872066f</v>
    <v>en-US</v>
    <v>Generic</v>
  </rv>
  <rv s="3">
    <v>35</v>
  </rv>
  <rv s="4">
    <v>https://www.bing.com/search?q=gilroy+california&amp;form=skydnc</v>
    <v>Learn more on Bing</v>
  </rv>
  <rv s="1">
    <fb>-121.58</fb>
    <v>9</v>
  </rv>
  <rv s="1">
    <fb>59520</fb>
    <v>8</v>
  </rv>
  <rv s="8">
    <v>#VALUE!</v>
    <v>en-US</v>
    <v>a5e05be1-7114-8a30-3237-4b9a579860ee</v>
    <v>536870912</v>
    <v>1</v>
    <v>107</v>
    <v>26</v>
    <v>Gilroy, California</v>
    <v>4</v>
    <v>5</v>
    <v>Map</v>
    <v>6</v>
    <v>7</v>
    <v>1</v>
    <v>458</v>
    <v>459</v>
    <v>4</v>
    <v>Gilroy is a city in Northern California's Santa Clara County, south of Morgan Hill and north of San Benito County. Gilroy is the southernmost city in the San Francisco Bay Area, with a population of 59,520 as of the 2020 Census.</v>
    <v>460</v>
    <v>461</v>
    <v>463</v>
    <v>464</v>
    <v>465</v>
    <v>Gilroy, California</v>
    <v>466</v>
    <v>44</v>
    <v>Gilroy, California</v>
    <v>mdp/vdpid/5058075085995245569</v>
  </rv>
  <rv s="0">
    <v>536870912</v>
    <v>Glendale, California</v>
    <v>87f9a132-d636-45d0-83db-300c408522b3</v>
    <v>en-US</v>
    <v>Map</v>
  </rv>
  <rv s="1">
    <fb>79.155776000000003</fb>
    <v>8</v>
  </rv>
  <rv s="2">
    <v>47</v>
    <v>6</v>
    <v>108</v>
    <v>7</v>
    <v>0</v>
    <v>Image of Glendale, California</v>
  </rv>
  <rv s="1">
    <fb>34.170833333333</fb>
    <v>9</v>
  </rv>
  <rv s="0">
    <v>805306368</v>
    <v>Dan Brotman (Mayor)</v>
    <v>0faade95-3881-0c42-2ad3-3e2e608ab178</v>
    <v>en-US</v>
    <v>Generic</v>
  </rv>
  <rv s="3">
    <v>36</v>
  </rv>
  <rv s="4">
    <v>https://www.bing.com/search?q=glendale+california&amp;form=skydnc</v>
    <v>Learn more on Bing</v>
  </rv>
  <rv s="1">
    <fb>-118.25</fb>
    <v>9</v>
  </rv>
  <rv s="1">
    <fb>196543</fb>
    <v>8</v>
  </rv>
  <rv s="5">
    <v>#VALUE!</v>
    <v>en-US</v>
    <v>87f9a132-d636-45d0-83db-300c408522b3</v>
    <v>536870912</v>
    <v>1</v>
    <v>109</v>
    <v>2</v>
    <v>Glendale, California</v>
    <v>4</v>
    <v>5</v>
    <v>Map</v>
    <v>6</v>
    <v>7</v>
    <v>1</v>
    <v>73</v>
    <v>469</v>
    <v>4</v>
    <v>Glendale is a city in the San Fernando Valley and Verdugo Mountains regions of Los Angeles County, California, United States. At the 2020 U.S. Census the population was 196,543, up from 191,719 at the 2010 census, making it the fourth-largest ...</v>
    <v>470</v>
    <v>471</v>
    <v>473</v>
    <v>474</v>
    <v>475</v>
    <v>Glendale, California</v>
    <v>476</v>
    <v>Glendale, California</v>
    <v>mdp/vdpid/5059775720088141825</v>
  </rv>
  <rv s="0">
    <v>536870912</v>
    <v>Half Moon Bay, California</v>
    <v>97b5c503-cee2-5047-9cfa-b23eec9e3eb7</v>
    <v>en-US</v>
    <v>Map</v>
  </rv>
  <rv s="0">
    <v>536870912</v>
    <v>San Mateo County</v>
    <v>b97731d8-08e0-fbe4-4a10-005df422cce7</v>
    <v>en-US</v>
    <v>Map</v>
  </rv>
  <rv s="1">
    <fb>16.687678999999999</fb>
    <v>8</v>
  </rv>
  <rv s="2">
    <v>48</v>
    <v>6</v>
    <v>110</v>
    <v>7</v>
    <v>0</v>
    <v>Image of Half Moon Bay, California</v>
  </rv>
  <rv s="1">
    <fb>37.458888888889</fb>
    <v>9</v>
  </rv>
  <rv s="0">
    <v>805306368</v>
    <v>Deborah Penrose (Mayor)</v>
    <v>7c60970a-4f45-aacb-f173-23f3af963e19</v>
    <v>en-US</v>
    <v>Generic</v>
  </rv>
  <rv s="3">
    <v>37</v>
  </rv>
  <rv s="4">
    <v>https://www.bing.com/search?q=half+moon+bay+california&amp;form=skydnc</v>
    <v>Learn more on Bing</v>
  </rv>
  <rv s="1">
    <fb>-122.43694444444</fb>
    <v>9</v>
  </rv>
  <rv s="1">
    <fb>11795</fb>
    <v>8</v>
  </rv>
  <rv s="8">
    <v>#VALUE!</v>
    <v>en-US</v>
    <v>97b5c503-cee2-5047-9cfa-b23eec9e3eb7</v>
    <v>536870912</v>
    <v>1</v>
    <v>111</v>
    <v>26</v>
    <v>Half Moon Bay, California</v>
    <v>4</v>
    <v>5</v>
    <v>Map</v>
    <v>6</v>
    <v>7</v>
    <v>1</v>
    <v>479</v>
    <v>480</v>
    <v>4</v>
    <v>Half Moon Bay is a coastal city in San Mateo County, California, United States, approximately 25 miles south of San Francisco. Its population was 11,795 as of the 2020 census. Immediately north of Half Moon Bay is Pillar Point Harbor and the ...</v>
    <v>481</v>
    <v>482</v>
    <v>484</v>
    <v>485</v>
    <v>486</v>
    <v>Half Moon Bay, California</v>
    <v>487</v>
    <v>44</v>
    <v>Half Moon Bay, California</v>
    <v>mdp/vdpid/5057892226554658817</v>
  </rv>
  <rv s="1">
    <fb>1919</fb>
    <v>8</v>
  </rv>
  <rv s="2">
    <v>49</v>
    <v>6</v>
    <v>112</v>
    <v>7</v>
    <v>0</v>
    <v>Image of San Mateo County, California</v>
  </rv>
  <rv s="0">
    <v>536870912</v>
    <v>Redwood City</v>
    <v>534d4188-c995-4ab0-81d9-5e4f5668047e</v>
    <v>en-US</v>
    <v>Map</v>
  </rv>
  <rv s="4">
    <v>https://www.bing.com/search?q=san+mateo+county+california&amp;form=skydnc</v>
    <v>Learn more on Bing</v>
  </rv>
  <rv s="1">
    <fb>764442</fb>
    <v>8</v>
  </rv>
  <rv s="7">
    <v>#VALUE!</v>
    <v>en-US</v>
    <v>b97731d8-08e0-fbe4-4a10-005df422cce7</v>
    <v>536870912</v>
    <v>1</v>
    <v>113</v>
    <v>21</v>
    <v>San Mateo County, California</v>
    <v>4</v>
    <v>5</v>
    <v>Map</v>
    <v>6</v>
    <v>7</v>
    <v>1</v>
    <v>489</v>
    <v>4</v>
    <v>San Mateo County, officially the County of San Mateo, is a county located in the U.S. state of California. As of the 2020 census, the population was 764,442. Redwood City is the county seat, and the third most populated city following Daly City ...</v>
    <v>490</v>
    <v>491</v>
    <v>492</v>
    <v>San Mateo County, California</v>
    <v>493</v>
    <v>San Mateo County, California</v>
    <v>mdp/vdpid/10035039</v>
  </rv>
  <rv s="0">
    <v>536870912</v>
    <v>Hanford, California</v>
    <v>e0780a74-5784-8d48-3efa-ac086ed6ec7e</v>
    <v>en-US</v>
    <v>Map</v>
  </rv>
  <rv s="0">
    <v>536870912</v>
    <v>Kings County</v>
    <v>669032d1-55e3-d92e-e4e6-21a4d4bc89da</v>
    <v>en-US</v>
    <v>Map</v>
  </rv>
  <rv s="1">
    <fb>43.521431999999997</fb>
    <v>8</v>
  </rv>
  <rv s="2">
    <v>50</v>
    <v>6</v>
    <v>114</v>
    <v>7</v>
    <v>0</v>
    <v>Image of Hanford, California</v>
  </rv>
  <rv s="1">
    <fb>36.327500000000001</fb>
    <v>9</v>
  </rv>
  <rv s="0">
    <v>805306368</v>
    <v>Travis Paden (Mayor)</v>
    <v>ee7f48fc-123d-e015-e6a9-353d2b5b554a</v>
    <v>en-US</v>
    <v>Generic</v>
  </rv>
  <rv s="3">
    <v>38</v>
  </rv>
  <rv s="4">
    <v>https://www.bing.com/search?q=hanford+california&amp;form=skydnc</v>
    <v>Learn more on Bing</v>
  </rv>
  <rv s="1">
    <fb>-119.64555555555999</fb>
    <v>9</v>
  </rv>
  <rv s="1">
    <fb>57990</fb>
    <v>8</v>
  </rv>
  <rv s="5">
    <v>#VALUE!</v>
    <v>en-US</v>
    <v>e0780a74-5784-8d48-3efa-ac086ed6ec7e</v>
    <v>536870912</v>
    <v>1</v>
    <v>115</v>
    <v>2</v>
    <v>Hanford, California</v>
    <v>4</v>
    <v>5</v>
    <v>Map</v>
    <v>6</v>
    <v>7</v>
    <v>1</v>
    <v>496</v>
    <v>497</v>
    <v>4</v>
    <v>Hanford is the most populous city and the county seat of Kings County, California, located in the San Joaquin Valley region of the greater Central Valley. The population was 53,967 at the 2010 census.</v>
    <v>498</v>
    <v>499</v>
    <v>501</v>
    <v>502</v>
    <v>503</v>
    <v>Hanford, California</v>
    <v>504</v>
    <v>Hanford, California</v>
    <v>mdp/vdpid/5059283065075924993</v>
  </rv>
  <rv s="0">
    <v>536870912</v>
    <v>Hayward, California</v>
    <v>22b3ac03-d411-4799-9098-b36afda8b206</v>
    <v>en-US</v>
    <v>Map</v>
  </rv>
  <rv s="1">
    <fb>165.30772300000001</fb>
    <v>8</v>
  </rv>
  <rv s="2">
    <v>51</v>
    <v>6</v>
    <v>116</v>
    <v>7</v>
    <v>0</v>
    <v>Image of Hayward, California</v>
  </rv>
  <rv s="1">
    <fb>37.668888888889001</fb>
    <v>9</v>
  </rv>
  <rv s="0">
    <v>805306368</v>
    <v>Mark Salinas (Mayor)</v>
    <v>d414c6f0-974e-6c79-03c1-7409dc61fba4</v>
    <v>en-US</v>
    <v>Generic</v>
  </rv>
  <rv s="3">
    <v>39</v>
  </rv>
  <rv s="4">
    <v>https://www.bing.com/search?q=hayward+california&amp;form=skydnc</v>
    <v>Learn more on Bing</v>
  </rv>
  <rv s="1">
    <fb>-122.08083333333001</fb>
    <v>9</v>
  </rv>
  <rv s="1">
    <fb>162954</fb>
    <v>8</v>
  </rv>
  <rv s="8">
    <v>#VALUE!</v>
    <v>en-US</v>
    <v>22b3ac03-d411-4799-9098-b36afda8b206</v>
    <v>536870912</v>
    <v>1</v>
    <v>117</v>
    <v>26</v>
    <v>Hayward, California</v>
    <v>4</v>
    <v>5</v>
    <v>Map</v>
    <v>6</v>
    <v>7</v>
    <v>1</v>
    <v>117</v>
    <v>507</v>
    <v>4</v>
    <v>Hayward is a city located in Alameda County, California, United States, in the East Bay subregion of the San Francisco Bay Area. With a population of 162,954 as of 2020, Hayward is the sixth largest city in the Bay Area and the third largest in ...</v>
    <v>508</v>
    <v>509</v>
    <v>511</v>
    <v>512</v>
    <v>513</v>
    <v>Hayward, California</v>
    <v>514</v>
    <v>44</v>
    <v>Hayward, California</v>
    <v>mdp/vdpid/5057972548734550017</v>
  </rv>
  <rv s="0">
    <v>536870912</v>
    <v>Hollister, California</v>
    <v>90bab8ea-d22e-6bfa-593c-7735c5e12b0f</v>
    <v>en-US</v>
    <v>Map</v>
  </rv>
  <rv s="0">
    <v>536870912</v>
    <v>San Benito County</v>
    <v>8de67d49-39a2-9f31-8496-bdeccb587615</v>
    <v>en-US</v>
    <v>Map</v>
  </rv>
  <rv s="1">
    <fb>18.969922</fb>
    <v>8</v>
  </rv>
  <rv s="2">
    <v>52</v>
    <v>6</v>
    <v>118</v>
    <v>7</v>
    <v>0</v>
    <v>Image of Hollister, California</v>
  </rv>
  <rv s="1">
    <fb>36.846939999999996</fb>
    <v>9</v>
  </rv>
  <rv s="0">
    <v>805306368</v>
    <v>Mia Casey (Mayor)</v>
    <v>dd328320-2e7f-aafd-d1b3-96640039c6a2</v>
    <v>en-US</v>
    <v>Generic</v>
  </rv>
  <rv s="3">
    <v>40</v>
  </rv>
  <rv s="4">
    <v>https://www.bing.com/search?q=hollister+california&amp;form=skydnc</v>
    <v>Learn more on Bing</v>
  </rv>
  <rv s="1">
    <fb>-121.39806</fb>
    <v>9</v>
  </rv>
  <rv s="1">
    <fb>41678</fb>
    <v>8</v>
  </rv>
  <rv s="5">
    <v>#VALUE!</v>
    <v>en-US</v>
    <v>90bab8ea-d22e-6bfa-593c-7735c5e12b0f</v>
    <v>536870912</v>
    <v>1</v>
    <v>119</v>
    <v>2</v>
    <v>Hollister, California</v>
    <v>4</v>
    <v>5</v>
    <v>Map</v>
    <v>6</v>
    <v>7</v>
    <v>1</v>
    <v>517</v>
    <v>518</v>
    <v>4</v>
    <v>Hollister is a city in and the county seat of San Benito County, located in the Central Coast region of California, United States. With a 2020 United States census population of 41,678, Hollister is one of the largest cities in the Monterey Bay ...</v>
    <v>519</v>
    <v>520</v>
    <v>522</v>
    <v>523</v>
    <v>524</v>
    <v>Hollister, California</v>
    <v>525</v>
    <v>Hollister, California</v>
    <v>mdp/vdpid/5058090370760441857</v>
  </rv>
  <rv s="0">
    <v>536870912</v>
    <v>Huntington Beach, California</v>
    <v>4ae4bf4c-6a1b-4fd0-afec-f97b8fc79043</v>
    <v>en-US</v>
    <v>Map</v>
  </rv>
  <rv s="1">
    <fb>83.201621000000003</fb>
    <v>8</v>
  </rv>
  <rv s="2">
    <v>53</v>
    <v>6</v>
    <v>120</v>
    <v>7</v>
    <v>0</v>
    <v>Image of Huntington Beach, California</v>
  </rv>
  <rv s="1">
    <fb>33.692777777777998</fb>
    <v>9</v>
  </rv>
  <rv s="0">
    <v>805306368</v>
    <v>Gracey Van Der Mark (Mayor)</v>
    <v>01e3ea08-ef46-89a7-cc70-f7898c00db90</v>
    <v>en-US</v>
    <v>Generic</v>
  </rv>
  <rv s="3">
    <v>41</v>
  </rv>
  <rv s="4">
    <v>https://www.bing.com/search?q=huntington+beach+california&amp;form=skydnc</v>
    <v>Learn more on Bing</v>
  </rv>
  <rv s="1">
    <fb>-117.99972222222</fb>
    <v>9</v>
  </rv>
  <rv s="1">
    <fb>198711</fb>
    <v>8</v>
  </rv>
  <rv s="5">
    <v>#VALUE!</v>
    <v>en-US</v>
    <v>4ae4bf4c-6a1b-4fd0-afec-f97b8fc79043</v>
    <v>536870912</v>
    <v>1</v>
    <v>121</v>
    <v>2</v>
    <v>Huntington Beach, California</v>
    <v>4</v>
    <v>5</v>
    <v>Map</v>
    <v>6</v>
    <v>7</v>
    <v>1</v>
    <v>14</v>
    <v>528</v>
    <v>4</v>
    <v>Huntington Beach is a seaside city in Orange County in Southern California, United States. The city is named after American businessman Henry E. Huntington. The population was 198,711 during the 2020 census, making it the fourth most populous ...</v>
    <v>529</v>
    <v>530</v>
    <v>532</v>
    <v>533</v>
    <v>534</v>
    <v>Huntington Beach, California</v>
    <v>535</v>
    <v>Huntington Beach, California</v>
    <v>mdp/vdpid/5073305927424147457</v>
  </rv>
  <rv s="0">
    <v>536870912</v>
    <v>Independence, California</v>
    <v>742bba44-6b80-c3f9-bf75-c182e04c04ae</v>
    <v>en-US</v>
    <v>Map</v>
  </rv>
  <rv s="1">
    <fb>12.612098</fb>
    <v>8</v>
  </rv>
  <rv s="2">
    <v>54</v>
    <v>6</v>
    <v>122</v>
    <v>7</v>
    <v>0</v>
    <v>Image of Independence, California</v>
  </rv>
  <rv s="1">
    <fb>36.802777777777997</fb>
    <v>9</v>
  </rv>
  <rv s="4">
    <v>https://www.bing.com/search?q=independence+california&amp;form=skydnc</v>
    <v>Learn more on Bing</v>
  </rv>
  <rv s="1">
    <fb>-118.2</fb>
    <v>9</v>
  </rv>
  <rv s="1">
    <fb>593</fb>
    <v>8</v>
  </rv>
  <rv s="6">
    <v>#VALUE!</v>
    <v>en-US</v>
    <v>742bba44-6b80-c3f9-bf75-c182e04c04ae</v>
    <v>536870912</v>
    <v>1</v>
    <v>123</v>
    <v>16</v>
    <v>Independence, California</v>
    <v>4</v>
    <v>5</v>
    <v>Map</v>
    <v>6</v>
    <v>7</v>
    <v>1</v>
    <v>128</v>
    <v>538</v>
    <v>4</v>
    <v>Independence is a census-designated place in Inyo County, California. Independence is located 41 miles south-southeast of Bishop, at an elevation of 3930 feet. It is the county seat of Inyo County, California. The population of this ...</v>
    <v>539</v>
    <v>540</v>
    <v>541</v>
    <v>542</v>
    <v>Independence, California</v>
    <v>543</v>
    <v>44</v>
    <v>Independence, California</v>
    <v>mdp/vdpid/5058663434204217345</v>
  </rv>
  <rv s="0">
    <v>536870912</v>
    <v>Indio, California</v>
    <v>0b9fba67-1f1f-4a28-8751-7622e1ac2125</v>
    <v>en-US</v>
    <v>Map</v>
  </rv>
  <rv s="1">
    <fb>86.077704999999995</fb>
    <v>8</v>
  </rv>
  <rv s="2">
    <v>55</v>
    <v>6</v>
    <v>124</v>
    <v>7</v>
    <v>0</v>
    <v>Image of Indio, California</v>
  </rv>
  <rv s="1">
    <fb>33.72</fb>
    <v>9</v>
  </rv>
  <rv s="0">
    <v>805306368</v>
    <v>Oscar Ortiz (Mayor)</v>
    <v>758ec85c-2136-3d07-e2b0-fdb776681c9e</v>
    <v>en-US</v>
    <v>Generic</v>
  </rv>
  <rv s="3">
    <v>42</v>
  </rv>
  <rv s="4">
    <v>https://www.bing.com/search?q=indio+california&amp;form=skydnc</v>
    <v>Learn more on Bing</v>
  </rv>
  <rv s="1">
    <fb>-116.23194444444</fb>
    <v>9</v>
  </rv>
  <rv s="1">
    <fb>89137</fb>
    <v>8</v>
  </rv>
  <rv s="5">
    <v>#VALUE!</v>
    <v>en-US</v>
    <v>0b9fba67-1f1f-4a28-8751-7622e1ac2125</v>
    <v>536870912</v>
    <v>1</v>
    <v>125</v>
    <v>2</v>
    <v>Indio, California</v>
    <v>4</v>
    <v>5</v>
    <v>Map</v>
    <v>6</v>
    <v>7</v>
    <v>1</v>
    <v>106</v>
    <v>546</v>
    <v>4</v>
    <v>Indio is a city in Riverside County, California, United States, in the Coachella Valley of Southern California's Colorado Desert region. It lies 23 miles east of Palm Springs, 75 miles east of Riverside, 127 miles east of Los Angeles, 148 miles ...</v>
    <v>547</v>
    <v>548</v>
    <v>550</v>
    <v>551</v>
    <v>552</v>
    <v>Indio, California</v>
    <v>553</v>
    <v>Indio, California</v>
    <v>mdp/vdpid/5073455303886897153</v>
  </rv>
  <rv s="0">
    <v>536870912</v>
    <v>Inglewood, California</v>
    <v>9cd876f0-3764-4e14-b9c1-23c24d8b9b46</v>
    <v>en-US</v>
    <v>Map</v>
  </rv>
  <rv s="1">
    <fb>23.549347000000001</fb>
    <v>8</v>
  </rv>
  <rv s="2">
    <v>56</v>
    <v>6</v>
    <v>126</v>
    <v>7</v>
    <v>0</v>
    <v>Image of Inglewood, California</v>
  </rv>
  <rv s="1">
    <fb>33.957500000000003</fb>
    <v>9</v>
  </rv>
  <rv s="0">
    <v>805306368</v>
    <v>James T. Butts Jr. (Mayor)</v>
    <v>5e1813f3-0f4d-9483-cb81-f8b1e99b44d0</v>
    <v>en-US</v>
    <v>Generic</v>
  </rv>
  <rv s="3">
    <v>43</v>
  </rv>
  <rv s="4">
    <v>https://www.bing.com/search?q=inglewood+california&amp;form=skydnc</v>
    <v>Learn more on Bing</v>
  </rv>
  <rv s="1">
    <fb>-118.34611111111001</fb>
    <v>9</v>
  </rv>
  <rv s="1">
    <fb>107762</fb>
    <v>8</v>
  </rv>
  <rv s="8">
    <v>#VALUE!</v>
    <v>en-US</v>
    <v>9cd876f0-3764-4e14-b9c1-23c24d8b9b46</v>
    <v>536870912</v>
    <v>1</v>
    <v>127</v>
    <v>26</v>
    <v>Inglewood, California</v>
    <v>4</v>
    <v>5</v>
    <v>Map</v>
    <v>6</v>
    <v>7</v>
    <v>1</v>
    <v>73</v>
    <v>556</v>
    <v>4</v>
    <v>Inglewood is a city in southwestern Los Angeles County, California, United States, in the Los Angeles metropolitan area. As of the 2020 U.S. Census, the city had a population of 107,762. It was incorporated on February 14, 1908. The city is in ...</v>
    <v>557</v>
    <v>558</v>
    <v>560</v>
    <v>561</v>
    <v>562</v>
    <v>Inglewood, California</v>
    <v>563</v>
    <v>44</v>
    <v>Inglewood, California</v>
    <v>mdp/vdpid/5059787122504892419</v>
  </rv>
  <rv s="0">
    <v>536870912</v>
    <v>Irvine, California</v>
    <v>79ff86cc-27eb-4f12-9406-85d238f37ef3</v>
    <v>en-US</v>
    <v>Map</v>
  </rv>
  <rv s="1">
    <fb>170.74247600000001</fb>
    <v>8</v>
  </rv>
  <rv s="2">
    <v>57</v>
    <v>6</v>
    <v>128</v>
    <v>7</v>
    <v>0</v>
    <v>Image of Irvine, California</v>
  </rv>
  <rv s="1">
    <fb>33.684166666666997</fb>
    <v>9</v>
  </rv>
  <rv s="0">
    <v>805306368</v>
    <v>Farrah Khan (Mayor)</v>
    <v>34011fd5-191d-15f5-4a19-dc846ce43922</v>
    <v>en-US</v>
    <v>Generic</v>
  </rv>
  <rv s="3">
    <v>44</v>
  </rv>
  <rv s="4">
    <v>https://www.bing.com/search?q=irvine+california&amp;form=skydnc</v>
    <v>Learn more on Bing</v>
  </rv>
  <rv s="1">
    <fb>-117.7925</fb>
    <v>9</v>
  </rv>
  <rv s="1">
    <fb>307670</fb>
    <v>8</v>
  </rv>
  <rv s="5">
    <v>#VALUE!</v>
    <v>en-US</v>
    <v>79ff86cc-27eb-4f12-9406-85d238f37ef3</v>
    <v>536870912</v>
    <v>1</v>
    <v>129</v>
    <v>2</v>
    <v>Irvine, California</v>
    <v>4</v>
    <v>5</v>
    <v>Map</v>
    <v>6</v>
    <v>7</v>
    <v>1</v>
    <v>14</v>
    <v>566</v>
    <v>4</v>
    <v>Irvine is a master-planned city in southern Orange County, California, United States, in the Los Angeles metropolitan area. The Irvine Company started developing the area in the 1960s and the city was formally incorporated on December 28, 1971. ...</v>
    <v>567</v>
    <v>568</v>
    <v>570</v>
    <v>571</v>
    <v>572</v>
    <v>Irvine, California</v>
    <v>573</v>
    <v>Irvine, California</v>
    <v>mdp/vdpid/5073308057761480705</v>
  </rv>
  <rv s="0">
    <v>536870912</v>
    <v>Kettleman City, California</v>
    <v>4f1d1f0f-b8ba-bdaa-5a14-7ab480553dc2</v>
    <v>en-US</v>
    <v>Map</v>
  </rv>
  <rv s="1">
    <fb>0.546489</fb>
    <v>8</v>
  </rv>
  <rv s="2">
    <v>58</v>
    <v>6</v>
    <v>130</v>
    <v>7</v>
    <v>0</v>
    <v>Image of Kettleman City, California</v>
  </rv>
  <rv s="1">
    <fb>36.008609999999997</fb>
    <v>9</v>
  </rv>
  <rv s="4">
    <v>https://www.bing.com/search?q=kettleman+city+california&amp;form=skydnc</v>
    <v>Learn more on Bing</v>
  </rv>
  <rv s="1">
    <fb>-119.96278</fb>
    <v>9</v>
  </rv>
  <rv s="1">
    <fb>1242</fb>
    <v>8</v>
  </rv>
  <rv s="6">
    <v>#VALUE!</v>
    <v>en-US</v>
    <v>4f1d1f0f-b8ba-bdaa-5a14-7ab480553dc2</v>
    <v>536870912</v>
    <v>1</v>
    <v>131</v>
    <v>16</v>
    <v>Kettleman City, California</v>
    <v>4</v>
    <v>5</v>
    <v>Map</v>
    <v>6</v>
    <v>7</v>
    <v>1</v>
    <v>496</v>
    <v>576</v>
    <v>4</v>
    <v>Kettleman City is a census-designated place in Kings County, California, United States. Kettleman City is located 28 miles southwest of Hanford, 54 miles south of Fresno, at an elevation of 253 feet, and sits only about 1/2 mile north of the ...</v>
    <v>577</v>
    <v>578</v>
    <v>579</v>
    <v>580</v>
    <v>Kettleman City, California</v>
    <v>581</v>
    <v>44</v>
    <v>Kettleman City, California</v>
    <v>mdp/vdpid/5059291240797831169</v>
  </rv>
  <rv s="0">
    <v>536870912</v>
    <v>King City, California</v>
    <v>9a02a889-1c24-9ed7-901f-4765678a89cf</v>
    <v>en-US</v>
    <v>Map</v>
  </rv>
  <rv s="0">
    <v>536870912</v>
    <v>Monterey County</v>
    <v>62b08ea9-b492-5614-9553-bf921595bd0d</v>
    <v>en-US</v>
    <v>Map</v>
  </rv>
  <rv s="1">
    <fb>10.317425999999999</fb>
    <v>8</v>
  </rv>
  <rv s="2">
    <v>59</v>
    <v>6</v>
    <v>132</v>
    <v>7</v>
    <v>0</v>
    <v>Image of King City, California</v>
  </rv>
  <rv s="1">
    <fb>36.212777777778001</fb>
    <v>9</v>
  </rv>
  <rv s="0">
    <v>805306368</v>
    <v>Mike LeBarre (Mayor)</v>
    <v>10316db9-8ffe-a1b8-a343-3f836efb65ea</v>
    <v>en-US</v>
    <v>Generic</v>
  </rv>
  <rv s="3">
    <v>45</v>
  </rv>
  <rv s="4">
    <v>https://www.bing.com/search?q=king+city+california&amp;form=skydnc</v>
    <v>Learn more on Bing</v>
  </rv>
  <rv s="1">
    <fb>-121.12611111111001</fb>
    <v>9</v>
  </rv>
  <rv s="1">
    <fb>13332</fb>
    <v>8</v>
  </rv>
  <rv s="5">
    <v>#VALUE!</v>
    <v>en-US</v>
    <v>9a02a889-1c24-9ed7-901f-4765678a89cf</v>
    <v>536870912</v>
    <v>1</v>
    <v>133</v>
    <v>2</v>
    <v>King City, California</v>
    <v>4</v>
    <v>5</v>
    <v>Map</v>
    <v>6</v>
    <v>7</v>
    <v>1</v>
    <v>584</v>
    <v>585</v>
    <v>4</v>
    <v>King City is a city in Monterey County, California, United States. It is located on the Salinas River 51 miles southeast of Salinas, at an elevation of 335 feet. It lies along U.S. Route 101 in the Salinas Valley of California's Central Coast. ...</v>
    <v>586</v>
    <v>587</v>
    <v>589</v>
    <v>590</v>
    <v>591</v>
    <v>King City, California</v>
    <v>592</v>
    <v>King City, California</v>
    <v>mdp/vdpid/5058871298139095042</v>
  </rv>
  <rv s="0">
    <v>536870912</v>
    <v>Lakeport, California</v>
    <v>856fc66c-9001-3f80-26c6-572ec1094e87</v>
    <v>en-US</v>
    <v>Map</v>
  </rv>
  <rv s="1">
    <fb>8.2839320000000001</fb>
    <v>8</v>
  </rv>
  <rv s="2">
    <v>60</v>
    <v>6</v>
    <v>134</v>
    <v>7</v>
    <v>0</v>
    <v>Image of Lakeport, California</v>
  </rv>
  <rv s="1">
    <fb>39.043055555556002</fb>
    <v>9</v>
  </rv>
  <rv s="0">
    <v>805306368</v>
    <v>George Spurr (Mayor)</v>
    <v>b98903d6-509b-0baf-92ad-0f05a53ef4a8</v>
    <v>en-US</v>
    <v>Generic</v>
  </rv>
  <rv s="3">
    <v>46</v>
  </rv>
  <rv s="4">
    <v>https://www.bing.com/search?q=lakeport+california&amp;form=skydnc</v>
    <v>Learn more on Bing</v>
  </rv>
  <rv s="1">
    <fb>-122.91583333333</fb>
    <v>9</v>
  </rv>
  <rv s="1">
    <fb>5026</fb>
    <v>8</v>
  </rv>
  <rv s="5">
    <v>#VALUE!</v>
    <v>en-US</v>
    <v>856fc66c-9001-3f80-26c6-572ec1094e87</v>
    <v>536870912</v>
    <v>1</v>
    <v>135</v>
    <v>2</v>
    <v>Lakeport, California</v>
    <v>4</v>
    <v>5</v>
    <v>Map</v>
    <v>6</v>
    <v>7</v>
    <v>1</v>
    <v>244</v>
    <v>595</v>
    <v>4</v>
    <v>Lakeport is an incorporated city and the county seat of Lake County, California. This city is 125 miles northwest of Sacramento. Lakeport is on the western shore of Clear Lake, at an elevation of 1,355 feet. The population was 5,026 at the 2020 ...</v>
    <v>596</v>
    <v>597</v>
    <v>599</v>
    <v>600</v>
    <v>601</v>
    <v>Lakeport, California</v>
    <v>602</v>
    <v>Lakeport, California</v>
    <v>mdp/vdpid/5057595761437442049</v>
  </rv>
  <rv s="0">
    <v>536870912</v>
    <v>Lancaster, California</v>
    <v>e2f2296d-d830-43ce-af83-c7f26926552e</v>
    <v>en-US</v>
    <v>Map</v>
  </rv>
  <rv s="1">
    <fb>244.91207299999999</fb>
    <v>8</v>
  </rv>
  <rv s="2">
    <v>61</v>
    <v>6</v>
    <v>136</v>
    <v>7</v>
    <v>0</v>
    <v>Image of Lancaster, California</v>
  </rv>
  <rv s="1">
    <fb>34.686944444444002</fb>
    <v>9</v>
  </rv>
  <rv s="0">
    <v>805306368</v>
    <v>R. Rex Parris (Mayor)</v>
    <v>18bac5fc-3ea3-c9f1-d56c-851a69df2056</v>
    <v>en-US</v>
    <v>Generic</v>
  </rv>
  <rv s="3">
    <v>47</v>
  </rv>
  <rv s="4">
    <v>https://www.bing.com/search?q=lancaster+california&amp;form=skydnc</v>
    <v>Learn more on Bing</v>
  </rv>
  <rv s="1">
    <fb>-118.15416666666999</fb>
    <v>9</v>
  </rv>
  <rv s="1">
    <fb>173516</fb>
    <v>8</v>
  </rv>
  <rv s="5">
    <v>#VALUE!</v>
    <v>en-US</v>
    <v>e2f2296d-d830-43ce-af83-c7f26926552e</v>
    <v>536870912</v>
    <v>1</v>
    <v>137</v>
    <v>2</v>
    <v>Lancaster, California</v>
    <v>4</v>
    <v>5</v>
    <v>Map</v>
    <v>6</v>
    <v>7</v>
    <v>1</v>
    <v>73</v>
    <v>605</v>
    <v>4</v>
    <v>Lancaster is a charter city in northern Los Angeles County, in the Antelope Valley of the western Mojave Desert in Southern California. As of the 2020 census, the population was 173,516, making Lancaster the 153rd largest city in the United ...</v>
    <v>606</v>
    <v>607</v>
    <v>609</v>
    <v>610</v>
    <v>611</v>
    <v>Lancaster, California</v>
    <v>612</v>
    <v>Lancaster, California</v>
    <v>mdp/vdpid/5059719058497208322</v>
  </rv>
  <rv s="0">
    <v>536870912</v>
    <v>Livermore, California</v>
    <v>f9fb60c7-af67-4882-9ee2-b33a4e5a9e11</v>
    <v>en-US</v>
    <v>Map</v>
  </rv>
  <rv s="1">
    <fb>69.735100000000003</fb>
    <v>8</v>
  </rv>
  <rv s="2">
    <v>62</v>
    <v>6</v>
    <v>138</v>
    <v>7</v>
    <v>0</v>
    <v>Image of Livermore, California</v>
  </rv>
  <rv s="1">
    <fb>37.685555555556</fb>
    <v>9</v>
  </rv>
  <rv s="0">
    <v>805306368</v>
    <v>John Marchand (Mayor)</v>
    <v>a4d8ed8e-a9f9-2300-dc98-1eed7738f2a8</v>
    <v>en-US</v>
    <v>Generic</v>
  </rv>
  <rv s="3">
    <v>48</v>
  </rv>
  <rv s="4">
    <v>https://www.bing.com/search?q=livermore+california&amp;form=skydnc</v>
    <v>Learn more on Bing</v>
  </rv>
  <rv s="1">
    <fb>-121.76416666666999</fb>
    <v>9</v>
  </rv>
  <rv s="1">
    <fb>87955</fb>
    <v>8</v>
  </rv>
  <rv s="8">
    <v>#VALUE!</v>
    <v>en-US</v>
    <v>f9fb60c7-af67-4882-9ee2-b33a4e5a9e11</v>
    <v>536870912</v>
    <v>1</v>
    <v>139</v>
    <v>26</v>
    <v>Livermore, California</v>
    <v>4</v>
    <v>5</v>
    <v>Map</v>
    <v>6</v>
    <v>7</v>
    <v>1</v>
    <v>117</v>
    <v>615</v>
    <v>4</v>
    <v>Livermore is a city in Alameda County, California. With a 2020 population of 87,955, Livermore is the most populous city in the Tri-Valley, giving its name to the Livermore Valley. It is located on the eastern edge of California's San Francisco ...</v>
    <v>616</v>
    <v>617</v>
    <v>619</v>
    <v>620</v>
    <v>621</v>
    <v>Livermore, California</v>
    <v>622</v>
    <v>44</v>
    <v>Livermore, California</v>
    <v>mdp/vdpid/5057981310501388290</v>
  </rv>
  <rv s="0">
    <v>536870912</v>
    <v>Livingston, California</v>
    <v>17a69dc4-3681-f6f8-6de1-c7914ceef10e</v>
    <v>en-US</v>
    <v>Map</v>
  </rv>
  <rv s="1">
    <fb>9.5255120000000009</fb>
    <v>8</v>
  </rv>
  <rv s="2">
    <v>63</v>
    <v>6</v>
    <v>140</v>
    <v>7</v>
    <v>0</v>
    <v>Image of Livingston, California</v>
  </rv>
  <rv s="1">
    <fb>37.386944444443998</fb>
    <v>9</v>
  </rv>
  <rv s="0">
    <v>805306368</v>
    <v>Jose Moran (Mayor)</v>
    <v>59951822-a585-95f1-eee6-a831766d106f</v>
    <v>en-US</v>
    <v>Generic</v>
  </rv>
  <rv s="3">
    <v>49</v>
  </rv>
  <rv s="4">
    <v>https://www.bing.com/search?q=livingston+california&amp;form=skydnc</v>
    <v>Learn more on Bing</v>
  </rv>
  <rv s="1">
    <fb>-120.72361111111</fb>
    <v>9</v>
  </rv>
  <rv s="1">
    <fb>14172</fb>
    <v>8</v>
  </rv>
  <rv s="5">
    <v>#VALUE!</v>
    <v>en-US</v>
    <v>17a69dc4-3681-f6f8-6de1-c7914ceef10e</v>
    <v>536870912</v>
    <v>1</v>
    <v>141</v>
    <v>2</v>
    <v>Livingston, California</v>
    <v>4</v>
    <v>5</v>
    <v>Map</v>
    <v>6</v>
    <v>7</v>
    <v>1</v>
    <v>47</v>
    <v>625</v>
    <v>4</v>
    <v>Livingston is a city in Merced County, California, United States. Livingston is located 7 miles west-northwest of Atwater, at an elevation of 131 feet. According to the 2020 census, the city population was 14,172, up from 13,058 in 2010. ...</v>
    <v>626</v>
    <v>627</v>
    <v>629</v>
    <v>630</v>
    <v>631</v>
    <v>Livingston, California</v>
    <v>632</v>
    <v>Livingston, California</v>
    <v>mdp/vdpid/5058411327945441281</v>
  </rv>
  <rv s="0">
    <v>536870912</v>
    <v>Lodi, California</v>
    <v>6513af74-998d-9d3e-cfc8-8f44d7f28659</v>
    <v>en-US</v>
    <v>Map</v>
  </rv>
  <rv s="0">
    <v>536870912</v>
    <v>San Joaquin County</v>
    <v>afddb8c5-2a1f-d933-a7c2-67aaae041708</v>
    <v>en-US</v>
    <v>Map</v>
  </rv>
  <rv s="1">
    <fb>35.959259000000003</fb>
    <v>8</v>
  </rv>
  <rv s="2">
    <v>64</v>
    <v>6</v>
    <v>142</v>
    <v>7</v>
    <v>0</v>
    <v>Image of Lodi, California</v>
  </rv>
  <rv s="1">
    <fb>38.128888888889001</fb>
    <v>9</v>
  </rv>
  <rv s="0">
    <v>805306368</v>
    <v>Mikey Hothi (Mayor)</v>
    <v>96a2478b-bb6e-3830-bc32-28f3424b3b81</v>
    <v>en-US</v>
    <v>Generic</v>
  </rv>
  <rv s="3">
    <v>50</v>
  </rv>
  <rv s="4">
    <v>https://www.bing.com/search?q=lodi+california&amp;form=skydnc</v>
    <v>Learn more on Bing</v>
  </rv>
  <rv s="1">
    <fb>-121.28083333332999</fb>
    <v>9</v>
  </rv>
  <rv s="1">
    <fb>66348</fb>
    <v>8</v>
  </rv>
  <rv s="8">
    <v>#VALUE!</v>
    <v>en-US</v>
    <v>6513af74-998d-9d3e-cfc8-8f44d7f28659</v>
    <v>536870912</v>
    <v>1</v>
    <v>143</v>
    <v>26</v>
    <v>Lodi, California</v>
    <v>4</v>
    <v>5</v>
    <v>Map</v>
    <v>6</v>
    <v>7</v>
    <v>1</v>
    <v>635</v>
    <v>636</v>
    <v>4</v>
    <v>Lodi is a city located in San Joaquin County, California, in the center portion of California's Central Valley. The population was 62,134 at the 2010 census. Lodi is best known for wine grape production, although its vintages have historically ...</v>
    <v>637</v>
    <v>638</v>
    <v>640</v>
    <v>641</v>
    <v>642</v>
    <v>Lodi, California</v>
    <v>643</v>
    <v>44</v>
    <v>Lodi, California</v>
    <v>mdp/vdpid/5057819479120019458</v>
  </rv>
  <rv s="0">
    <v>536870912</v>
    <v>Lone Pine, California</v>
    <v>8ffde840-f5be-2a61-e1e5-4e79735c11da</v>
    <v>en-US</v>
    <v>Map</v>
  </rv>
  <rv s="1">
    <fb>49.767757000000003</fb>
    <v>8</v>
  </rv>
  <rv s="2">
    <v>65</v>
    <v>6</v>
    <v>144</v>
    <v>7</v>
    <v>0</v>
    <v>Image of Lone Pine, California</v>
  </rv>
  <rv s="1">
    <fb>36.606111111110998</fb>
    <v>9</v>
  </rv>
  <rv s="4">
    <v>https://www.bing.com/search?q=lone+pine+california&amp;form=skydnc</v>
    <v>Learn more on Bing</v>
  </rv>
  <rv s="1">
    <fb>-118.06277777778</fb>
    <v>9</v>
  </rv>
  <rv s="1">
    <fb>2014</fb>
    <v>8</v>
  </rv>
  <rv s="6">
    <v>#VALUE!</v>
    <v>en-US</v>
    <v>8ffde840-f5be-2a61-e1e5-4e79735c11da</v>
    <v>536870912</v>
    <v>1</v>
    <v>145</v>
    <v>16</v>
    <v>Lone Pine, California</v>
    <v>4</v>
    <v>5</v>
    <v>Map</v>
    <v>6</v>
    <v>7</v>
    <v>1</v>
    <v>128</v>
    <v>646</v>
    <v>4</v>
    <v>Lone Pine is a census-designated place in Inyo County, California, United States, located 16 mi south-southeast of Independence at an elevation of 3,727 ft. The population was 2,035 at the 2010 census, up from 1,655 at the 2000 census. The town ...</v>
    <v>647</v>
    <v>648</v>
    <v>649</v>
    <v>650</v>
    <v>Lone Pine, California</v>
    <v>651</v>
    <v>44</v>
    <v>Lone Pine, California</v>
    <v>mdp/vdpid/5060169555301629953</v>
  </rv>
  <rv s="0">
    <v>536870912</v>
    <v>Long Beach, California</v>
    <v>0b412653-c6c4-4e41-b59c-e1214435431f</v>
    <v>en-US</v>
    <v>Map</v>
  </rv>
  <rv s="1">
    <fb>133.32291699999999</fb>
    <v>8</v>
  </rv>
  <rv s="2">
    <v>66</v>
    <v>6</v>
    <v>146</v>
    <v>7</v>
    <v>0</v>
    <v>Image of Long Beach, California</v>
  </rv>
  <rv s="1">
    <fb>33.768055555555598</fb>
    <v>9</v>
  </rv>
  <rv s="0">
    <v>805306368</v>
    <v>Rex Richardson (Mayor)</v>
    <v>c7cfdbeb-1e86-dd78-f17c-ca2f4e77aeae</v>
    <v>en-US</v>
    <v>Generic</v>
  </rv>
  <rv s="3">
    <v>51</v>
  </rv>
  <rv s="4">
    <v>https://www.bing.com/search?q=long+beach+california&amp;form=skydnc</v>
    <v>Learn more on Bing</v>
  </rv>
  <rv s="1">
    <fb>-118.195555555556</fb>
    <v>9</v>
  </rv>
  <rv s="1">
    <fb>466742</fb>
    <v>8</v>
  </rv>
  <rv s="8">
    <v>#VALUE!</v>
    <v>en-US</v>
    <v>0b412653-c6c4-4e41-b59c-e1214435431f</v>
    <v>536870912</v>
    <v>1</v>
    <v>147</v>
    <v>26</v>
    <v>Long Beach, California</v>
    <v>4</v>
    <v>5</v>
    <v>Map</v>
    <v>6</v>
    <v>7</v>
    <v>1</v>
    <v>73</v>
    <v>654</v>
    <v>4</v>
    <v>Long Beach is a city in Los Angeles County, California, United States. It is the 43rd-most populous city in the United States, with a population of 466,742 as of 2020. A charter city, Long Beach is the seventh-most populous city in California ...</v>
    <v>655</v>
    <v>656</v>
    <v>658</v>
    <v>659</v>
    <v>660</v>
    <v>Long Beach, California</v>
    <v>661</v>
    <v>44</v>
    <v>Long Beach, California</v>
    <v>mdp/vdpid/5059794131925073922</v>
  </rv>
  <rv s="0">
    <v>536870912</v>
    <v>Los Angeles</v>
    <v>9958ca5c-ea31-4e71-8a17-bd1e7839c723</v>
    <v>en-US</v>
    <v>Map</v>
  </rv>
  <rv s="1">
    <fb>1302.1517100000001</fb>
    <v>8</v>
  </rv>
  <rv s="2">
    <v>67</v>
    <v>6</v>
    <v>148</v>
    <v>7</v>
    <v>0</v>
    <v>Image of Los Angeles</v>
  </rv>
  <rv s="1">
    <fb>34.052230000000002</fb>
    <v>9</v>
  </rv>
  <rv s="0">
    <v>805306368</v>
    <v>Karen Bass (Mayor)</v>
    <v>a751553e-fe0b-cc4e-1581-201bdf467bf3</v>
    <v>en-US</v>
    <v>Generic</v>
  </rv>
  <rv s="3">
    <v>52</v>
  </rv>
  <rv s="4">
    <v>https://www.bing.com/search?q=los+angeles&amp;form=skydnc</v>
    <v>Learn more on Bing</v>
  </rv>
  <rv s="1">
    <fb>-118.24368</fb>
    <v>9</v>
  </rv>
  <rv s="1">
    <fb>3898747</fb>
    <v>8</v>
  </rv>
  <rv s="8">
    <v>#VALUE!</v>
    <v>en-US</v>
    <v>9958ca5c-ea31-4e71-8a17-bd1e7839c723</v>
    <v>536870912</v>
    <v>1</v>
    <v>149</v>
    <v>26</v>
    <v>Los Angeles</v>
    <v>4</v>
    <v>5</v>
    <v>Map</v>
    <v>6</v>
    <v>7</v>
    <v>1</v>
    <v>73</v>
    <v>664</v>
    <v>4</v>
    <v>Los Angeles, often referred to by its initials L.A., officially the City of Los Angeles, is the most populous city in the U.S. state of California. With roughly 3.9 million residents within the city limits as of 2020, Los Angeles is the ...</v>
    <v>665</v>
    <v>666</v>
    <v>668</v>
    <v>669</v>
    <v>670</v>
    <v>Los Angeles</v>
    <v>671</v>
    <v>44</v>
    <v>Los Angeles</v>
    <v>mdp/vdpid/5059788015119892481</v>
  </rv>
  <rv s="0">
    <v>536870912</v>
    <v>Los Banos, California</v>
    <v>5a0bd0b5-a2d4-993e-bb51-6a8a91d4e508</v>
    <v>en-US</v>
    <v>Map</v>
  </rv>
  <rv s="1">
    <fb>26.203272999999999</fb>
    <v>8</v>
  </rv>
  <rv s="2">
    <v>68</v>
    <v>6</v>
    <v>150</v>
    <v>7</v>
    <v>0</v>
    <v>Image of Los Banos, California</v>
  </rv>
  <rv s="1">
    <fb>37.058333333333003</fb>
    <v>9</v>
  </rv>
  <rv s="0">
    <v>805306368</v>
    <v>Paul Llanez (Mayor)</v>
    <v>a4621baa-eb79-7b71-3900-d69e25eb8d0e</v>
    <v>en-US</v>
    <v>Generic</v>
  </rv>
  <rv s="3">
    <v>53</v>
  </rv>
  <rv s="4">
    <v>https://www.bing.com/search?q=los+banos+california&amp;form=skydnc</v>
    <v>Learn more on Bing</v>
  </rv>
  <rv s="1">
    <fb>-120.85</fb>
    <v>9</v>
  </rv>
  <rv s="1">
    <fb>45532</fb>
    <v>8</v>
  </rv>
  <rv s="5">
    <v>#VALUE!</v>
    <v>en-US</v>
    <v>5a0bd0b5-a2d4-993e-bb51-6a8a91d4e508</v>
    <v>536870912</v>
    <v>1</v>
    <v>151</v>
    <v>2</v>
    <v>Los Banos, California</v>
    <v>4</v>
    <v>5</v>
    <v>Map</v>
    <v>6</v>
    <v>7</v>
    <v>1</v>
    <v>47</v>
    <v>674</v>
    <v>4</v>
    <v>Los Banos, alternatively Los Baños, is a city in Merced County, California, United States. It is located in the San Joaquin Valley in central California, near the junction of State Route 152 and Interstate 5. Its population was 45,532 at the ...</v>
    <v>675</v>
    <v>676</v>
    <v>678</v>
    <v>679</v>
    <v>680</v>
    <v>Los Banos, California</v>
    <v>681</v>
    <v>Los Banos, California</v>
    <v>mdp/vdpid/5058462214751518721</v>
  </rv>
  <rv s="0">
    <v>536870912</v>
    <v>Madera, California</v>
    <v>939368f3-8cd6-30fc-8cb7-a42ad9dfbdc7</v>
    <v>en-US</v>
    <v>Map</v>
  </rv>
  <rv s="1">
    <fb>40.893994999999997</fb>
    <v>8</v>
  </rv>
  <rv s="2">
    <v>69</v>
    <v>6</v>
    <v>152</v>
    <v>7</v>
    <v>0</v>
    <v>Image of Madera, California</v>
  </rv>
  <rv s="1">
    <fb>36.961388888888997</fb>
    <v>9</v>
  </rv>
  <rv s="3">
    <v>54</v>
  </rv>
  <rv s="4">
    <v>https://www.bing.com/search?q=madera+california&amp;form=skydnc</v>
    <v>Learn more on Bing</v>
  </rv>
  <rv s="1">
    <fb>-120.06083333333</fb>
    <v>9</v>
  </rv>
  <rv s="1">
    <fb>66224</fb>
    <v>8</v>
  </rv>
  <rv s="5">
    <v>#VALUE!</v>
    <v>en-US</v>
    <v>939368f3-8cd6-30fc-8cb7-a42ad9dfbdc7</v>
    <v>536870912</v>
    <v>1</v>
    <v>153</v>
    <v>2</v>
    <v>Madera, California</v>
    <v>4</v>
    <v>5</v>
    <v>Map</v>
    <v>6</v>
    <v>7</v>
    <v>1</v>
    <v>225</v>
    <v>684</v>
    <v>4</v>
    <v>Madera is a city and county seat of Madera County, California. As of the 2020 United States census, the city's population was 66,224. Located in the San Joaquin Valley, Madera is the principal city of the Madera Metropolitan Statistical Area, ...</v>
    <v>685</v>
    <v>686</v>
    <v>687</v>
    <v>688</v>
    <v>689</v>
    <v>Madera, California</v>
    <v>690</v>
    <v>Madera, California</v>
    <v>mdp/vdpid/5058498288987144193</v>
  </rv>
  <rv s="0">
    <v>536870912</v>
    <v>Mariposa, California</v>
    <v>7424d3a7-ff38-50e5-f483-3f4cde44126a</v>
    <v>en-US</v>
    <v>Map</v>
  </rv>
  <rv s="0">
    <v>536870912</v>
    <v>Mariposa County</v>
    <v>2321e79b-3013-ef7c-317e-2951acbed0cf</v>
    <v>en-US</v>
    <v>Map</v>
  </rv>
  <rv s="1">
    <fb>7.8851170000000002</fb>
    <v>8</v>
  </rv>
  <rv s="2">
    <v>70</v>
    <v>6</v>
    <v>154</v>
    <v>7</v>
    <v>0</v>
    <v>Image of Mariposa, California</v>
  </rv>
  <rv s="1">
    <fb>37.487220000000001</fb>
    <v>9</v>
  </rv>
  <rv s="4">
    <v>https://www.bing.com/search?q=mariposa+ca&amp;form=skydnc</v>
    <v>Learn more on Bing</v>
  </rv>
  <rv s="1">
    <fb>-119.96832999999999</fb>
    <v>9</v>
  </rv>
  <rv s="1">
    <fb>1526</fb>
    <v>8</v>
  </rv>
  <rv s="6">
    <v>#VALUE!</v>
    <v>en-US</v>
    <v>7424d3a7-ff38-50e5-f483-3f4cde44126a</v>
    <v>536870912</v>
    <v>1</v>
    <v>155</v>
    <v>16</v>
    <v>Mariposa, California</v>
    <v>4</v>
    <v>5</v>
    <v>Map</v>
    <v>6</v>
    <v>7</v>
    <v>1</v>
    <v>693</v>
    <v>694</v>
    <v>4</v>
    <v>Mariposa is an unincorporated community and census-designated place in and the county seat of Mariposa County, California, United States. The population was 1,526 at the 2020 census. The community is named after the flocks of monarch butterflies ...</v>
    <v>695</v>
    <v>696</v>
    <v>697</v>
    <v>698</v>
    <v>Mariposa, California</v>
    <v>699</v>
    <v>44</v>
    <v>Mariposa, California</v>
    <v>mdp/vdpid/5058443724061671425</v>
  </rv>
  <rv s="1">
    <fb>3789</fb>
    <v>8</v>
  </rv>
  <rv s="2">
    <v>71</v>
    <v>6</v>
    <v>156</v>
    <v>7</v>
    <v>0</v>
    <v>Image of Mariposa County, California</v>
  </rv>
  <rv s="0">
    <v>536870912</v>
    <v>Buck Meadows</v>
    <v>5e400ab3-b19d-fe37-f803-5890caaf6da4</v>
    <v>en-US</v>
    <v>Map</v>
  </rv>
  <rv s="4">
    <v>https://www.bing.com/search?q=mariposa+county+california&amp;form=skydnc</v>
    <v>Learn more on Bing</v>
  </rv>
  <rv s="1">
    <fb>17131</fb>
    <v>8</v>
  </rv>
  <rv s="7">
    <v>#VALUE!</v>
    <v>en-US</v>
    <v>2321e79b-3013-ef7c-317e-2951acbed0cf</v>
    <v>536870912</v>
    <v>1</v>
    <v>157</v>
    <v>21</v>
    <v>Mariposa County, California</v>
    <v>4</v>
    <v>5</v>
    <v>Map</v>
    <v>6</v>
    <v>7</v>
    <v>1</v>
    <v>701</v>
    <v>4</v>
    <v>Mariposa County is a county located in the U.S. state of California. As of the 2020 U.S. Census, the population was 17,131. The county seat is Mariposa. It is located in the western foothills of the Sierra Nevada mountains, north of Fresno, east ...</v>
    <v>702</v>
    <v>703</v>
    <v>704</v>
    <v>Mariposa County, California</v>
    <v>705</v>
    <v>Mariposa County, California</v>
    <v>mdp/vdpid/10035020</v>
  </rv>
  <rv s="0">
    <v>536870912</v>
    <v>Maxwell, California</v>
    <v>e9afd5fa-92b2-d38b-4397-4290fff3d465</v>
    <v>en-US</v>
    <v>Map</v>
  </rv>
  <rv s="1">
    <fb>5.569331</fb>
    <v>8</v>
  </rv>
  <rv s="2">
    <v>72</v>
    <v>6</v>
    <v>158</v>
    <v>7</v>
    <v>0</v>
    <v>Image of Maxwell, California</v>
  </rv>
  <rv s="1">
    <fb>39.276388888889002</fb>
    <v>9</v>
  </rv>
  <rv s="4">
    <v>https://www.bing.com/search?q=maxwell+california&amp;form=skydnc</v>
    <v>Learn more on Bing</v>
  </rv>
  <rv s="1">
    <fb>-122.19138888889</fb>
    <v>9</v>
  </rv>
  <rv s="1">
    <fb>1067</fb>
    <v>8</v>
  </rv>
  <rv s="6">
    <v>#VALUE!</v>
    <v>en-US</v>
    <v>e9afd5fa-92b2-d38b-4397-4290fff3d465</v>
    <v>536870912</v>
    <v>1</v>
    <v>159</v>
    <v>16</v>
    <v>Maxwell, California</v>
    <v>4</v>
    <v>5</v>
    <v>Map</v>
    <v>6</v>
    <v>7</v>
    <v>1</v>
    <v>37</v>
    <v>708</v>
    <v>4</v>
    <v>Maxwell is a census-designated place and farm community in Colusa County, California. It lies at an elevation of 92 feet. Located off Interstate 5, it is home to Maxwell High School. The main crop grown is rice, though a variety of others such ...</v>
    <v>709</v>
    <v>710</v>
    <v>711</v>
    <v>712</v>
    <v>Maxwell, California</v>
    <v>713</v>
    <v>44</v>
    <v>Maxwell, California</v>
    <v>mdp/vdpid/5057684938262839297</v>
  </rv>
  <rv s="0">
    <v>536870912</v>
    <v>Mendocino, California</v>
    <v>737bb34e-07a8-67cb-dc1e-825236f19cf9</v>
    <v>en-US</v>
    <v>Map</v>
  </rv>
  <rv s="1">
    <fb>19.219944999999999</fb>
    <v>8</v>
  </rv>
  <rv s="2">
    <v>73</v>
    <v>6</v>
    <v>160</v>
    <v>7</v>
    <v>0</v>
    <v>Image of Mendocino, California</v>
  </rv>
  <rv s="1">
    <fb>39.308055555556003</fb>
    <v>9</v>
  </rv>
  <rv s="4">
    <v>https://www.bing.com/search?q=mendocino+california&amp;form=skydnc</v>
    <v>Learn more on Bing</v>
  </rv>
  <rv s="1">
    <fb>-123.79611111110999</fb>
    <v>9</v>
  </rv>
  <rv s="1">
    <fb>932</fb>
    <v>8</v>
  </rv>
  <rv s="6">
    <v>#VALUE!</v>
    <v>en-US</v>
    <v>737bb34e-07a8-67cb-dc1e-825236f19cf9</v>
    <v>536870912</v>
    <v>1</v>
    <v>161</v>
    <v>16</v>
    <v>Mendocino, California</v>
    <v>4</v>
    <v>5</v>
    <v>Map</v>
    <v>6</v>
    <v>7</v>
    <v>1</v>
    <v>285</v>
    <v>716</v>
    <v>4</v>
    <v>Mendocino is an unincorporated community in Mendocino County, California, United States. The name comes from Cape Mendocino 85 miles to the north, named by early Spanish navigators in honor of Antonio de Mendoza, Viceroy of New Spain. Despite ...</v>
    <v>717</v>
    <v>718</v>
    <v>719</v>
    <v>720</v>
    <v>Mendocino, California</v>
    <v>721</v>
    <v>44</v>
    <v>Mendocino, California</v>
    <v>mdp/vdpid/5051537802257235969</v>
  </rv>
  <rv s="0">
    <v>536870912</v>
    <v>Merced, California</v>
    <v>a695aebd-7352-4cef-9b86-c5d36311c125</v>
    <v>en-US</v>
    <v>Map</v>
  </rv>
  <rv s="0">
    <v>536870912</v>
    <v>Modesto, California</v>
    <v>51714384-f310-4d3a-9eeb-29fa60125f65</v>
    <v>en-US</v>
    <v>Map</v>
  </rv>
  <rv s="0">
    <v>536870912</v>
    <v>Stanislaus County</v>
    <v>77661824-d9f2-91d5-6fd3-2a8f93c8b9d1</v>
    <v>en-US</v>
    <v>Map</v>
  </rv>
  <rv s="1">
    <fb>116.04637700000001</fb>
    <v>8</v>
  </rv>
  <rv s="2">
    <v>74</v>
    <v>6</v>
    <v>162</v>
    <v>7</v>
    <v>0</v>
    <v>Image of Modesto, California</v>
  </rv>
  <rv s="1">
    <fb>37.661388888889</fb>
    <v>9</v>
  </rv>
  <rv s="0">
    <v>805306368</v>
    <v>Sue Zwahlen (Mayor)</v>
    <v>bab254dd-ee04-2e55-b7f3-2076566a0226</v>
    <v>en-US</v>
    <v>Generic</v>
  </rv>
  <rv s="3">
    <v>55</v>
  </rv>
  <rv s="4">
    <v>https://www.bing.com/search?q=modesto+california&amp;form=skydnc</v>
    <v>Learn more on Bing</v>
  </rv>
  <rv s="1">
    <fb>-120.99444444444001</fb>
    <v>9</v>
  </rv>
  <rv s="1">
    <fb>218464</fb>
    <v>8</v>
  </rv>
  <rv s="8">
    <v>#VALUE!</v>
    <v>en-US</v>
    <v>51714384-f310-4d3a-9eeb-29fa60125f65</v>
    <v>536870912</v>
    <v>1</v>
    <v>163</v>
    <v>26</v>
    <v>Modesto, California</v>
    <v>4</v>
    <v>5</v>
    <v>Map</v>
    <v>6</v>
    <v>7</v>
    <v>1</v>
    <v>725</v>
    <v>726</v>
    <v>4</v>
    <v>Modesto is the county seat and largest city of Stanislaus County, California, United States. With a population of 218,069 according to 2022 U.S. Census Bureau estimates, it is the 19th largest city in the State of California.</v>
    <v>727</v>
    <v>728</v>
    <v>730</v>
    <v>731</v>
    <v>732</v>
    <v>Modesto, California</v>
    <v>733</v>
    <v>44</v>
    <v>Modesto, California</v>
    <v>mdp/vdpid/5058017151131058177</v>
  </rv>
  <rv s="0">
    <v>536870912</v>
    <v>Mojave, California</v>
    <v>065ff407-6573-d9b2-1403-62667706d15f</v>
    <v>en-US</v>
    <v>Map</v>
  </rv>
  <rv s="1">
    <fb>151.20161899999999</fb>
    <v>8</v>
  </rv>
  <rv s="2">
    <v>75</v>
    <v>6</v>
    <v>164</v>
    <v>7</v>
    <v>0</v>
    <v>Image of Mojave, California</v>
  </rv>
  <rv s="1">
    <fb>35.016669999999998</fb>
    <v>9</v>
  </rv>
  <rv s="4">
    <v>https://www.bing.com/search?q=mojave+california&amp;form=skydnc</v>
    <v>Learn more on Bing</v>
  </rv>
  <rv s="1">
    <fb>-118.18889</fb>
    <v>9</v>
  </rv>
  <rv s="1">
    <fb>4699</fb>
    <v>8</v>
  </rv>
  <rv s="6">
    <v>#VALUE!</v>
    <v>en-US</v>
    <v>065ff407-6573-d9b2-1403-62667706d15f</v>
    <v>536870912</v>
    <v>1</v>
    <v>165</v>
    <v>16</v>
    <v>Mojave, California</v>
    <v>4</v>
    <v>5</v>
    <v>Map</v>
    <v>6</v>
    <v>7</v>
    <v>1</v>
    <v>84</v>
    <v>736</v>
    <v>4</v>
    <v>Mojave is an unincorporated community in Kern County, California, United States. Mojave is located 50 miles east of Bakersfield, and 100 miles north of Los Angeles, at an elevation of 2,762 feet. The town is located in the western region of the ...</v>
    <v>737</v>
    <v>738</v>
    <v>739</v>
    <v>740</v>
    <v>Mojave, California</v>
    <v>741</v>
    <v>44</v>
    <v>Mojave, California</v>
    <v>mdp/vdpid/5059701332529643521</v>
  </rv>
  <rv s="0">
    <v>536870912</v>
    <v>Mammoth Lakes, California</v>
    <v>5169a992-c49b-edf9-5dc4-64d22dadf228</v>
    <v>en-US</v>
    <v>Map</v>
  </rv>
  <rv s="1">
    <fb>65.541488000000001</fb>
    <v>8</v>
  </rv>
  <rv s="2">
    <v>76</v>
    <v>6</v>
    <v>166</v>
    <v>7</v>
    <v>0</v>
    <v>Image of Mammoth Lakes, California</v>
  </rv>
  <rv s="1">
    <fb>37.648611111111002</fb>
    <v>9</v>
  </rv>
  <rv s="0">
    <v>805306368</v>
    <v>John Wentworth (Mayor)</v>
    <v>59c6be64-7e73-a700-98ee-51975086f37f</v>
    <v>en-US</v>
    <v>Generic</v>
  </rv>
  <rv s="3">
    <v>56</v>
  </rv>
  <rv s="4">
    <v>https://www.bing.com/search?q=mammoth+lakes+california&amp;form=skydnc</v>
    <v>Learn more on Bing</v>
  </rv>
  <rv s="1">
    <fb>-118.97194444444</fb>
    <v>9</v>
  </rv>
  <rv s="1">
    <fb>7191</fb>
    <v>8</v>
  </rv>
  <rv s="8">
    <v>#VALUE!</v>
    <v>en-US</v>
    <v>5169a992-c49b-edf9-5dc4-64d22dadf228</v>
    <v>536870912</v>
    <v>1</v>
    <v>167</v>
    <v>26</v>
    <v>Mammoth Lakes, California</v>
    <v>4</v>
    <v>5</v>
    <v>Map</v>
    <v>6</v>
    <v>7</v>
    <v>1</v>
    <v>176</v>
    <v>744</v>
    <v>4</v>
    <v>Mammoth Lakes is a town in Mono County, California, and is the county's only incorporated community. It is located immediately to the east of Mammoth Mountain, at an elevation of 7,880 feet. As of the 2020 United States Census, the population ...</v>
    <v>745</v>
    <v>746</v>
    <v>748</v>
    <v>749</v>
    <v>750</v>
    <v>Mammoth Lakes, California</v>
    <v>751</v>
    <v>44</v>
    <v>Mammoth Lakes, California</v>
    <v>mdp/vdpid/5058544379824701441</v>
  </rv>
  <rv s="0">
    <v>536870912</v>
    <v>Monterey, California</v>
    <v>475341ef-9c5b-4ad6-7d96-d60ab7c16f6f</v>
    <v>en-US</v>
    <v>Map</v>
  </rv>
  <rv s="1">
    <fb>31.735726</fb>
    <v>8</v>
  </rv>
  <rv s="2">
    <v>77</v>
    <v>6</v>
    <v>168</v>
    <v>7</v>
    <v>0</v>
    <v>Image of Monterey, California</v>
  </rv>
  <rv s="1">
    <fb>36.600239999999999</fb>
    <v>9</v>
  </rv>
  <rv s="3">
    <v>57</v>
  </rv>
  <rv s="4">
    <v>https://www.bing.com/search?q=monterey+california&amp;form=skydnc</v>
    <v>Learn more on Bing</v>
  </rv>
  <rv s="1">
    <fb>-121.89467999999999</fb>
    <v>9</v>
  </rv>
  <rv s="1">
    <fb>30218</fb>
    <v>8</v>
  </rv>
  <rv s="8">
    <v>#VALUE!</v>
    <v>en-US</v>
    <v>475341ef-9c5b-4ad6-7d96-d60ab7c16f6f</v>
    <v>536870912</v>
    <v>1</v>
    <v>169</v>
    <v>26</v>
    <v>Monterey, California</v>
    <v>4</v>
    <v>5</v>
    <v>Map</v>
    <v>6</v>
    <v>7</v>
    <v>1</v>
    <v>584</v>
    <v>754</v>
    <v>4</v>
    <v>Monterey is a city located in Monterey County on the southern edge of Monterey Bay on the U.S. state of California's Central Coast. Founded on June 3, 1770, it functioned as the capital of Alta California under both Spain and Mexico. During this ...</v>
    <v>755</v>
    <v>756</v>
    <v>757</v>
    <v>758</v>
    <v>759</v>
    <v>Monterey, California</v>
    <v>760</v>
    <v>44</v>
    <v>Monterey, California</v>
    <v>mdp/vdpid/5058067692594921473</v>
  </rv>
  <rv s="0">
    <v>536870912</v>
    <v>Morro Bay, California</v>
    <v>7a6d71f4-17df-5eae-62ca-3a815c1cda84</v>
    <v>en-US</v>
    <v>Map</v>
  </rv>
  <rv s="0">
    <v>536870912</v>
    <v>San Luis Obispo County</v>
    <v>1a5cf899-80ac-8a8b-9870-38c65aa993f4</v>
    <v>en-US</v>
    <v>Map</v>
  </rv>
  <rv s="1">
    <fb>26.733716999999999</fb>
    <v>8</v>
  </rv>
  <rv s="2">
    <v>78</v>
    <v>6</v>
    <v>170</v>
    <v>7</v>
    <v>0</v>
    <v>Image of Morro Bay, California</v>
  </rv>
  <rv s="1">
    <fb>35.379166666666997</fb>
    <v>9</v>
  </rv>
  <rv s="0">
    <v>805306368</v>
    <v>Carla Wixom (Mayor)</v>
    <v>ec0b0bbf-d6b8-1e2e-515a-76e1878d95fc</v>
    <v>en-US</v>
    <v>Generic</v>
  </rv>
  <rv s="3">
    <v>58</v>
  </rv>
  <rv s="4">
    <v>https://www.bing.com/search?q=morro+bay+california&amp;form=skydnc</v>
    <v>Learn more on Bing</v>
  </rv>
  <rv s="1">
    <fb>-120.85333333333</fb>
    <v>9</v>
  </rv>
  <rv s="1">
    <fb>10757</fb>
    <v>8</v>
  </rv>
  <rv s="5">
    <v>#VALUE!</v>
    <v>en-US</v>
    <v>7a6d71f4-17df-5eae-62ca-3a815c1cda84</v>
    <v>536870912</v>
    <v>1</v>
    <v>171</v>
    <v>2</v>
    <v>Morro Bay, California</v>
    <v>4</v>
    <v>5</v>
    <v>Map</v>
    <v>6</v>
    <v>7</v>
    <v>1</v>
    <v>763</v>
    <v>764</v>
    <v>4</v>
    <v>Morro Bay is a seaside city in San Luis Obispo County, California. Located on the Central Coast of California, the city population was 10,757 as of the 2020 census, up from 10,234 at the 2010 census. The town overlooks Morro Bay, a natural ...</v>
    <v>765</v>
    <v>766</v>
    <v>768</v>
    <v>769</v>
    <v>770</v>
    <v>Morro Bay, California</v>
    <v>771</v>
    <v>Morro Bay, California</v>
    <v>mdp/vdpid/5059320839481065473</v>
  </rv>
  <rv s="0">
    <v>536870912</v>
    <v>Mount Shasta, California</v>
    <v>df044ac7-ab8a-b97e-9417-53d305135b9f</v>
    <v>en-US</v>
    <v>Map</v>
  </rv>
  <rv s="0">
    <v>536870912</v>
    <v>Siskiyou County</v>
    <v>48db87c3-530a-4327-e42b-6351f104b522</v>
    <v>en-US</v>
    <v>Map</v>
  </rv>
  <rv s="1">
    <fb>9.7640320000000003</fb>
    <v>8</v>
  </rv>
  <rv s="2">
    <v>79</v>
    <v>6</v>
    <v>172</v>
    <v>7</v>
    <v>0</v>
    <v>Image of Mount Shasta, California</v>
  </rv>
  <rv s="1">
    <fb>41.314444444444</fb>
    <v>9</v>
  </rv>
  <rv s="0">
    <v>805306368</v>
    <v>John Redmond (Mayor)</v>
    <v>c27da83d-56bc-b37f-e6d4-684e36b621a5</v>
    <v>en-US</v>
    <v>Generic</v>
  </rv>
  <rv s="3">
    <v>59</v>
  </rv>
  <rv s="4">
    <v>https://www.bing.com/search?q=mount+shasta+california&amp;form=skydnc</v>
    <v>Learn more on Bing</v>
  </rv>
  <rv s="1">
    <fb>-122.31138888888999</fb>
    <v>9</v>
  </rv>
  <rv s="1">
    <fb>3223</fb>
    <v>8</v>
  </rv>
  <rv s="8">
    <v>#VALUE!</v>
    <v>en-US</v>
    <v>df044ac7-ab8a-b97e-9417-53d305135b9f</v>
    <v>536870912</v>
    <v>1</v>
    <v>173</v>
    <v>26</v>
    <v>Mount Shasta, California</v>
    <v>4</v>
    <v>5</v>
    <v>Map</v>
    <v>6</v>
    <v>7</v>
    <v>1</v>
    <v>774</v>
    <v>775</v>
    <v>4</v>
    <v>Mount Shasta is a city in Siskiyou County, California, at about 3,600 feet above sea level on the flanks of Mount Shasta, a prominent northern California landmark. The city is less than 9 miles southwest of the summit of its namesake volcano. ...</v>
    <v>776</v>
    <v>777</v>
    <v>779</v>
    <v>780</v>
    <v>781</v>
    <v>Mount Shasta, California</v>
    <v>782</v>
    <v>44</v>
    <v>Mount Shasta, California</v>
    <v>mdp/vdpid/5054377255451492353</v>
  </rv>
  <rv s="0">
    <v>536870912</v>
    <v>Napa, California</v>
    <v>1be0731e-dc4b-4115-a0ec-5872de37b986</v>
    <v>en-US</v>
    <v>Map</v>
  </rv>
  <rv s="0">
    <v>536870912</v>
    <v>Napa County</v>
    <v>2b925f96-0fc6-527e-c80d-9ad4f58871dd</v>
    <v>en-US</v>
    <v>Map</v>
  </rv>
  <rv s="1">
    <fb>46.743963999999998</fb>
    <v>8</v>
  </rv>
  <rv s="2">
    <v>80</v>
    <v>6</v>
    <v>174</v>
    <v>7</v>
    <v>0</v>
    <v>Image of Napa, California</v>
  </rv>
  <rv s="1">
    <fb>38.299999999999997</fb>
    <v>9</v>
  </rv>
  <rv s="0">
    <v>805306368</v>
    <v>Scott Sedgley (Mayor)</v>
    <v>e02ecf18-f9ab-f122-ea6f-ed4efb1b38cb</v>
    <v>en-US</v>
    <v>Generic</v>
  </rv>
  <rv s="3">
    <v>60</v>
  </rv>
  <rv s="4">
    <v>https://www.bing.com/search?q=napa+california&amp;form=skydnc</v>
    <v>Learn more on Bing</v>
  </rv>
  <rv s="1">
    <fb>-122.3</fb>
    <v>9</v>
  </rv>
  <rv s="1">
    <fb>79246</fb>
    <v>8</v>
  </rv>
  <rv s="5">
    <v>#VALUE!</v>
    <v>en-US</v>
    <v>1be0731e-dc4b-4115-a0ec-5872de37b986</v>
    <v>536870912</v>
    <v>1</v>
    <v>175</v>
    <v>2</v>
    <v>Napa, California</v>
    <v>4</v>
    <v>5</v>
    <v>Map</v>
    <v>6</v>
    <v>7</v>
    <v>1</v>
    <v>785</v>
    <v>786</v>
    <v>4</v>
    <v>Napa is the largest city and county seat of Napa County and a principal city of Wine Country in Northern California. Located in the North Bay region of the Bay Area, the city had a population of 77,480 as of the end of 2021. Napa is a major ...</v>
    <v>787</v>
    <v>788</v>
    <v>790</v>
    <v>791</v>
    <v>792</v>
    <v>Napa, California</v>
    <v>793</v>
    <v>Napa, California</v>
    <v>mdp/vdpid/5057771236856168449</v>
  </rv>
  <rv s="0">
    <v>536870912</v>
    <v>Oakhurst, California</v>
    <v>cb75bf3b-da2f-216a-00f5-c5564153b11b</v>
    <v>en-US</v>
    <v>Map</v>
  </rv>
  <rv s="1">
    <fb>15.549384999999999</fb>
    <v>8</v>
  </rv>
  <rv s="2">
    <v>81</v>
    <v>6</v>
    <v>176</v>
    <v>7</v>
    <v>0</v>
    <v>Image of Oakhurst, California</v>
  </rv>
  <rv s="1">
    <fb>37.331389999999999</fb>
    <v>9</v>
  </rv>
  <rv s="4">
    <v>https://www.bing.com/search?q=oakhurst+california&amp;form=skydnc</v>
    <v>Learn more on Bing</v>
  </rv>
  <rv s="1">
    <fb>-119.64778</fb>
    <v>9</v>
  </rv>
  <rv s="1">
    <fb>5945</fb>
    <v>8</v>
  </rv>
  <rv s="6">
    <v>#VALUE!</v>
    <v>en-US</v>
    <v>cb75bf3b-da2f-216a-00f5-c5564153b11b</v>
    <v>536870912</v>
    <v>1</v>
    <v>177</v>
    <v>16</v>
    <v>Oakhurst, California</v>
    <v>4</v>
    <v>5</v>
    <v>Map</v>
    <v>6</v>
    <v>7</v>
    <v>1</v>
    <v>225</v>
    <v>796</v>
    <v>4</v>
    <v>Oakhurst is a census-designated place in Madera County, California, United States, 14 miles south of the entrance to Yosemite National Park, in the foothills of the Sierra Nevada. At the 2020 census, the population was 5,945, up from 2,829 at ...</v>
    <v>797</v>
    <v>798</v>
    <v>799</v>
    <v>800</v>
    <v>Oakhurst, California</v>
    <v>801</v>
    <v>44</v>
    <v>Oakhurst, California</v>
    <v>mdp/vdpid/5058456245569060865</v>
  </rv>
  <rv s="0">
    <v>536870912</v>
    <v>Oakland, California</v>
    <v>2107878d-9789-42d7-b235-75dbd105305e</v>
    <v>en-US</v>
    <v>Map</v>
  </rv>
  <rv s="1">
    <fb>201.660067</fb>
    <v>8</v>
  </rv>
  <rv s="2">
    <v>82</v>
    <v>6</v>
    <v>178</v>
    <v>7</v>
    <v>0</v>
    <v>Image of Oakland, California</v>
  </rv>
  <rv s="1">
    <fb>37.799999999999997</fb>
    <v>9</v>
  </rv>
  <rv s="0">
    <v>805306368</v>
    <v>Sheng Thao (Mayor)</v>
    <v>bc9f846b-be9e-90b0-07af-4f9278d32496</v>
    <v>en-US</v>
    <v>Generic</v>
  </rv>
  <rv s="3">
    <v>61</v>
  </rv>
  <rv s="4">
    <v>https://www.bing.com/search?q=oakland+california&amp;form=skydnc</v>
    <v>Learn more on Bing</v>
  </rv>
  <rv s="1">
    <fb>-122.25</fb>
    <v>9</v>
  </rv>
  <rv s="1">
    <fb>440646</fb>
    <v>8</v>
  </rv>
  <rv s="5">
    <v>#VALUE!</v>
    <v>en-US</v>
    <v>2107878d-9789-42d7-b235-75dbd105305e</v>
    <v>536870912</v>
    <v>1</v>
    <v>179</v>
    <v>2</v>
    <v>Oakland, California</v>
    <v>4</v>
    <v>5</v>
    <v>Map</v>
    <v>6</v>
    <v>7</v>
    <v>1</v>
    <v>117</v>
    <v>804</v>
    <v>4</v>
    <v>Oakland is the most populous city and the county seat of Alameda County, California, United States. A major West Coast port, Oakland is the largest city in the East Bay region of the San Francisco Bay Area, the third-largest city overall in the ...</v>
    <v>805</v>
    <v>806</v>
    <v>808</v>
    <v>809</v>
    <v>810</v>
    <v>Oakland, California</v>
    <v>811</v>
    <v>Oakland, California</v>
    <v>mdp/vdpid/5057966226643353601</v>
  </rv>
  <rv s="0">
    <v>536870912</v>
    <v>Oceanside, California</v>
    <v>2bcb807c-e68c-4a1a-97a2-e72ef3c969b4</v>
    <v>en-US</v>
    <v>Map</v>
  </rv>
  <rv s="1">
    <fb>109.23413499999999</fb>
    <v>8</v>
  </rv>
  <rv s="2">
    <v>83</v>
    <v>6</v>
    <v>180</v>
    <v>7</v>
    <v>0</v>
    <v>Image of Oceanside, California</v>
  </rv>
  <rv s="1">
    <fb>33.211666666667</fb>
    <v>9</v>
  </rv>
  <rv s="0">
    <v>805306368</v>
    <v>Esther Sanchez (Mayor)</v>
    <v>f3525667-dd0b-5723-e1e8-de2e836c2e1f</v>
    <v>en-US</v>
    <v>Generic</v>
  </rv>
  <rv s="3">
    <v>62</v>
  </rv>
  <rv s="4">
    <v>https://www.bing.com/search?q=oceanside+california&amp;form=skydnc</v>
    <v>Learn more on Bing</v>
  </rv>
  <rv s="1">
    <fb>-117.32583333333</fb>
    <v>9</v>
  </rv>
  <rv s="1">
    <fb>174068</fb>
    <v>8</v>
  </rv>
  <rv s="8">
    <v>#VALUE!</v>
    <v>en-US</v>
    <v>2bcb807c-e68c-4a1a-97a2-e72ef3c969b4</v>
    <v>536870912</v>
    <v>1</v>
    <v>181</v>
    <v>26</v>
    <v>Oceanside, California</v>
    <v>4</v>
    <v>5</v>
    <v>Map</v>
    <v>6</v>
    <v>7</v>
    <v>1</v>
    <v>185</v>
    <v>814</v>
    <v>4</v>
    <v>Oceanside is a city on the South Coast of California, located in San Diego County. The city had a population of 174,068 at the 2020 United States census, up from 167,086 at the 2010 census. The city is a popular tourist destination, owing to its ...</v>
    <v>815</v>
    <v>816</v>
    <v>818</v>
    <v>819</v>
    <v>820</v>
    <v>Oceanside, California</v>
    <v>821</v>
    <v>44</v>
    <v>Oceanside, California</v>
    <v>mdp/vdpid/5073362278502367233</v>
  </rv>
  <rv s="0">
    <v>536870912</v>
    <v>Ontario, California</v>
    <v>56f9b44d-7561-49c2-8da9-ecbb8f4d8421</v>
    <v>en-US</v>
    <v>Map</v>
  </rv>
  <rv s="1">
    <fb>129.488843</fb>
    <v>8</v>
  </rv>
  <rv s="2">
    <v>84</v>
    <v>6</v>
    <v>182</v>
    <v>7</v>
    <v>0</v>
    <v>Image of Ontario, California</v>
  </rv>
  <rv s="1">
    <fb>34.052777777777997</fb>
    <v>9</v>
  </rv>
  <rv s="3">
    <v>63</v>
  </rv>
  <rv s="4">
    <v>https://www.bing.com/search?q=ontario+california&amp;form=skydnc</v>
    <v>Learn more on Bing</v>
  </rv>
  <rv s="1">
    <fb>-117.62777777778</fb>
    <v>9</v>
  </rv>
  <rv s="1">
    <fb>175265</fb>
    <v>8</v>
  </rv>
  <rv s="5">
    <v>#VALUE!</v>
    <v>en-US</v>
    <v>56f9b44d-7561-49c2-8da9-ecbb8f4d8421</v>
    <v>536870912</v>
    <v>1</v>
    <v>183</v>
    <v>2</v>
    <v>Ontario, California</v>
    <v>4</v>
    <v>5</v>
    <v>Map</v>
    <v>6</v>
    <v>7</v>
    <v>1</v>
    <v>95</v>
    <v>824</v>
    <v>4</v>
    <v>Ontario is a city in southwestern San Bernardino County in the U.S. state of California, 35 miles east of downtown Los Angeles and 23 miles west of downtown San Bernardino, the county seat. Located in the western part of the Inland Empire ...</v>
    <v>825</v>
    <v>826</v>
    <v>827</v>
    <v>828</v>
    <v>829</v>
    <v>Ontario, California</v>
    <v>830</v>
    <v>Ontario, California</v>
    <v>mdp/vdpid/5061298986409787393</v>
  </rv>
  <rv s="0">
    <v>536870912</v>
    <v>Oroville, California</v>
    <v>fe79a59a-7691-24fe-17f5-ee3244b78fc6</v>
    <v>en-US</v>
    <v>Map</v>
  </rv>
  <rv s="1">
    <fb>35.906922000000002</fb>
    <v>8</v>
  </rv>
  <rv s="2">
    <v>85</v>
    <v>6</v>
    <v>184</v>
    <v>7</v>
    <v>0</v>
    <v>Image of Oroville, California</v>
  </rv>
  <rv s="1">
    <fb>39.513888888888999</fb>
    <v>9</v>
  </rv>
  <rv s="3">
    <v>64</v>
  </rv>
  <rv s="4">
    <v>https://www.bing.com/search?q=oroville+california&amp;form=skydnc</v>
    <v>Learn more on Bing</v>
  </rv>
  <rv s="1">
    <fb>-121.3925</fb>
    <v>9</v>
  </rv>
  <rv s="1">
    <fb>20042</fb>
    <v>8</v>
  </rv>
  <rv s="5">
    <v>#VALUE!</v>
    <v>en-US</v>
    <v>fe79a59a-7691-24fe-17f5-ee3244b78fc6</v>
    <v>536870912</v>
    <v>1</v>
    <v>185</v>
    <v>2</v>
    <v>Oroville, California</v>
    <v>4</v>
    <v>5</v>
    <v>Map</v>
    <v>6</v>
    <v>7</v>
    <v>1</v>
    <v>205</v>
    <v>833</v>
    <v>4</v>
    <v>Oroville is the county seat of Butte County, California, United States. The population of the city was 15,506 at the 2010 census, up from 13,004 in the 2000 census. Following the 2018 Camp Fire that destroyed much of the town of Paradise, the ...</v>
    <v>834</v>
    <v>835</v>
    <v>836</v>
    <v>837</v>
    <v>838</v>
    <v>Oroville, California</v>
    <v>839</v>
    <v>Oroville, California</v>
    <v>mdp/vdpid/5054714696016330753</v>
  </rv>
  <rv s="0">
    <v>536870912</v>
    <v>Oxnard, California</v>
    <v>ea60ca83-2d0b-44e9-924e-dbfccee77728</v>
    <v>en-US</v>
    <v>Map</v>
  </rv>
  <rv s="0">
    <v>536870912</v>
    <v>Ventura County</v>
    <v>5b723ab3-706a-1e8e-0390-b1f70ae9899b</v>
    <v>en-US</v>
    <v>Map</v>
  </rv>
  <rv s="1">
    <fb>101.54773900000001</fb>
    <v>8</v>
  </rv>
  <rv s="2">
    <v>86</v>
    <v>6</v>
    <v>186</v>
    <v>7</v>
    <v>0</v>
    <v>Image of Oxnard, California</v>
  </rv>
  <rv s="1">
    <fb>34.191388888889001</fb>
    <v>9</v>
  </rv>
  <rv s="0">
    <v>805306368</v>
    <v>John Zaragoza (Mayor)</v>
    <v>346e6a35-f3b8-7181-8f9c-1ac1405fd85b</v>
    <v>en-US</v>
    <v>Generic</v>
  </rv>
  <rv s="3">
    <v>65</v>
  </rv>
  <rv s="4">
    <v>https://www.bing.com/search?q=oxnard+california&amp;form=skydnc</v>
    <v>Learn more on Bing</v>
  </rv>
  <rv s="1">
    <fb>-119.1825</fb>
    <v>9</v>
  </rv>
  <rv s="1">
    <fb>202063</fb>
    <v>8</v>
  </rv>
  <rv s="8">
    <v>#VALUE!</v>
    <v>en-US</v>
    <v>ea60ca83-2d0b-44e9-924e-dbfccee77728</v>
    <v>536870912</v>
    <v>1</v>
    <v>187</v>
    <v>26</v>
    <v>Oxnard, California</v>
    <v>4</v>
    <v>5</v>
    <v>Map</v>
    <v>6</v>
    <v>7</v>
    <v>1</v>
    <v>842</v>
    <v>843</v>
    <v>4</v>
    <v>Oxnard is a city in Ventura County in the U.S. state of California, United States. On California's South Coast, it is the most populous city in Ventura County and the 22nd-most-populous city in California. Incorporated in 1903, Oxnard lies ...</v>
    <v>844</v>
    <v>845</v>
    <v>847</v>
    <v>848</v>
    <v>849</v>
    <v>Oxnard, California</v>
    <v>850</v>
    <v>44</v>
    <v>Oxnard, California</v>
    <v>mdp/vdpid/5059731495967522818</v>
  </rv>
  <rv s="0">
    <v>536870912</v>
    <v>Palm Springs, California</v>
    <v>e5fbbc86-89c6-73f1-b1fe-e6b15aa2eee9</v>
    <v>en-US</v>
    <v>Map</v>
  </rv>
  <rv s="1">
    <fb>246.3</fb>
    <v>8</v>
  </rv>
  <rv s="2">
    <v>87</v>
    <v>6</v>
    <v>188</v>
    <v>7</v>
    <v>0</v>
    <v>Image of Palm Springs, California</v>
  </rv>
  <rv s="1">
    <fb>33.823888888889002</fb>
    <v>9</v>
  </rv>
  <rv s="0">
    <v>805306368</v>
    <v>Grace Elena Garner (Mayor)</v>
    <v>ce5b0522-8d94-b109-f1a8-627bf76d7e76</v>
    <v>en-US</v>
    <v>Generic</v>
  </rv>
  <rv s="3">
    <v>66</v>
  </rv>
  <rv s="4">
    <v>https://www.bing.com/search?q=palm+springs+california&amp;form=skydnc</v>
    <v>Learn more on Bing</v>
  </rv>
  <rv s="1">
    <fb>-116.53027777778</fb>
    <v>9</v>
  </rv>
  <rv s="1">
    <fb>44575</fb>
    <v>8</v>
  </rv>
  <rv s="5">
    <v>#VALUE!</v>
    <v>en-US</v>
    <v>e5fbbc86-89c6-73f1-b1fe-e6b15aa2eee9</v>
    <v>536870912</v>
    <v>1</v>
    <v>189</v>
    <v>2</v>
    <v>Palm Springs, California</v>
    <v>4</v>
    <v>5</v>
    <v>Map</v>
    <v>6</v>
    <v>7</v>
    <v>1</v>
    <v>106</v>
    <v>853</v>
    <v>4</v>
    <v>Palm Springs is a desert resort city in Riverside County, California, United States, within the Colorado Desert's Coachella Valley. The city covers approximately 94 square miles, making it the largest city in Riverside County by land area. With ...</v>
    <v>854</v>
    <v>855</v>
    <v>857</v>
    <v>858</v>
    <v>859</v>
    <v>Palm Springs, California</v>
    <v>860</v>
    <v>Palm Springs, California</v>
    <v>mdp/vdpid/5061438005542125569</v>
  </rv>
  <rv s="0">
    <v>536870912</v>
    <v>Palmdale, California</v>
    <v>ce6ba26e-6764-4024-a1c7-03a3c963a2f8</v>
    <v>en-US</v>
    <v>Map</v>
  </rv>
  <rv s="1">
    <fb>275.08668899999998</fb>
    <v>8</v>
  </rv>
  <rv s="2">
    <v>88</v>
    <v>6</v>
    <v>190</v>
    <v>7</v>
    <v>0</v>
    <v>Image of Palmdale, California</v>
  </rv>
  <rv s="1">
    <fb>34.579430000000002</fb>
    <v>9</v>
  </rv>
  <rv s="4">
    <v>https://www.bing.com/search?q=palmdale+california&amp;form=skydnc</v>
    <v>Learn more on Bing</v>
  </rv>
  <rv s="1">
    <fb>-118.11646</fb>
    <v>9</v>
  </rv>
  <rv s="1">
    <fb>169450</fb>
    <v>8</v>
  </rv>
  <rv s="6">
    <v>#VALUE!</v>
    <v>en-US</v>
    <v>ce6ba26e-6764-4024-a1c7-03a3c963a2f8</v>
    <v>536870912</v>
    <v>1</v>
    <v>191</v>
    <v>16</v>
    <v>Palmdale, California</v>
    <v>4</v>
    <v>5</v>
    <v>Map</v>
    <v>6</v>
    <v>7</v>
    <v>1</v>
    <v>73</v>
    <v>863</v>
    <v>4</v>
    <v>Palmdale is a city in northern Los Angeles County in the U.S. state of California. The city lies in the Antelope Valley of Southern California. The San Gabriel Mountains separate Palmdale from the Los Angeles Basin to the south.</v>
    <v>864</v>
    <v>865</v>
    <v>866</v>
    <v>867</v>
    <v>Palmdale, California</v>
    <v>868</v>
    <v>44</v>
    <v>Palmdale, California</v>
    <v>mdp/vdpid/5061223855167635457</v>
  </rv>
  <rv s="0">
    <v>536870912</v>
    <v>Palo Alto, California</v>
    <v>dc197a43-a077-fcf2-fa6a-bebe1f5475fa</v>
    <v>en-US</v>
    <v>Map</v>
  </rv>
  <rv s="1">
    <fb>66.750753000000003</fb>
    <v>8</v>
  </rv>
  <rv s="2">
    <v>89</v>
    <v>6</v>
    <v>192</v>
    <v>7</v>
    <v>0</v>
    <v>Image of Palo Alto, California</v>
  </rv>
  <rv s="1">
    <fb>37.429166666667001</fb>
    <v>9</v>
  </rv>
  <rv s="0">
    <v>805306368</v>
    <v>Lydia Kou (Mayor)</v>
    <v>15cef56c-44d4-b952-1481-e607debbb0b7</v>
    <v>en-US</v>
    <v>Generic</v>
  </rv>
  <rv s="3">
    <v>67</v>
  </rv>
  <rv s="4">
    <v>https://www.bing.com/search?q=palo+alto+california&amp;form=skydnc</v>
    <v>Learn more on Bing</v>
  </rv>
  <rv s="1">
    <fb>-122.13805555556</fb>
    <v>9</v>
  </rv>
  <rv s="1">
    <fb>68572</fb>
    <v>8</v>
  </rv>
  <rv s="8">
    <v>#VALUE!</v>
    <v>en-US</v>
    <v>dc197a43-a077-fcf2-fa6a-bebe1f5475fa</v>
    <v>536870912</v>
    <v>1</v>
    <v>193</v>
    <v>26</v>
    <v>Palo Alto, California</v>
    <v>4</v>
    <v>5</v>
    <v>Map</v>
    <v>6</v>
    <v>7</v>
    <v>1</v>
    <v>458</v>
    <v>871</v>
    <v>4</v>
    <v>Palo Alto is a charter city in the northwestern corner of Santa Clara County, California, United States, in the San Francisco Bay Area, named after a coastal redwood tree known as El Palo Alto. The city of Palo Alto was established in 1894 by ...</v>
    <v>872</v>
    <v>873</v>
    <v>875</v>
    <v>876</v>
    <v>877</v>
    <v>Palo Alto, California</v>
    <v>878</v>
    <v>44</v>
    <v>Palo Alto, California</v>
    <v>mdp/vdpid/5057985849308741634</v>
  </rv>
  <rv s="0">
    <v>536870912</v>
    <v>Paradise, California</v>
    <v>578aac1e-6611-623c-8558-adb75254e655</v>
    <v>en-US</v>
    <v>Map</v>
  </rv>
  <rv s="1">
    <fb>47.480837000000001</fb>
    <v>8</v>
  </rv>
  <rv s="2">
    <v>90</v>
    <v>6</v>
    <v>194</v>
    <v>7</v>
    <v>0</v>
    <v>Image of Paradise, California</v>
  </rv>
  <rv s="1">
    <fb>39.759722222222003</fb>
    <v>9</v>
  </rv>
  <rv s="0">
    <v>805306368</v>
    <v>Greg Bolin (Mayor)</v>
    <v>55c19db7-d3ba-4576-db2d-c7ffed5130df</v>
    <v>en-US</v>
    <v>Generic</v>
  </rv>
  <rv s="3">
    <v>68</v>
  </rv>
  <rv s="4">
    <v>https://www.bing.com/search?q=paradise+california&amp;form=skydnc</v>
    <v>Learn more on Bing</v>
  </rv>
  <rv s="1">
    <fb>-121.62138888889</fb>
    <v>9</v>
  </rv>
  <rv s="1">
    <fb>4764</fb>
    <v>8</v>
  </rv>
  <rv s="8">
    <v>#VALUE!</v>
    <v>en-US</v>
    <v>578aac1e-6611-623c-8558-adb75254e655</v>
    <v>536870912</v>
    <v>1</v>
    <v>195</v>
    <v>26</v>
    <v>Paradise, California</v>
    <v>4</v>
    <v>5</v>
    <v>Map</v>
    <v>6</v>
    <v>7</v>
    <v>1</v>
    <v>205</v>
    <v>881</v>
    <v>4</v>
    <v>Paradise is a town in Butte County, California, United States, in the Sierra Nevada foothills above the northeastern Sacramento Valley. As of the 2020 census, the town population was 4,764. On November 8, 2018, a major wildfire, the Camp Fire, ...</v>
    <v>882</v>
    <v>883</v>
    <v>885</v>
    <v>886</v>
    <v>887</v>
    <v>Paradise, California</v>
    <v>888</v>
    <v>44</v>
    <v>Paradise, California</v>
    <v>mdp/vdpid/5054674842108821505</v>
  </rv>
  <rv s="0">
    <v>536870912</v>
    <v>Pasadena, California</v>
    <v>fe2a8987-27c3-4b57-9e66-724ae2f778be</v>
    <v>en-US</v>
    <v>Map</v>
  </rv>
  <rv s="1">
    <fb>59.901735000000002</fb>
    <v>8</v>
  </rv>
  <rv s="2">
    <v>91</v>
    <v>6</v>
    <v>196</v>
    <v>7</v>
    <v>0</v>
    <v>Image of Pasadena, California</v>
  </rv>
  <rv s="1">
    <fb>34.156111111111002</fb>
    <v>9</v>
  </rv>
  <rv s="0">
    <v>805306368</v>
    <v>Victor Gordo (Mayor)</v>
    <v>7dbab626-c88c-9f42-d8b3-5db2049bd073</v>
    <v>en-US</v>
    <v>Generic</v>
  </rv>
  <rv s="3">
    <v>69</v>
  </rv>
  <rv s="4">
    <v>https://www.bing.com/search?q=pasadena+california&amp;form=skydnc</v>
    <v>Learn more on Bing</v>
  </rv>
  <rv s="1">
    <fb>-118.13194444443999</fb>
    <v>9</v>
  </rv>
  <rv s="1">
    <fb>138699</fb>
    <v>8</v>
  </rv>
  <rv s="8">
    <v>#VALUE!</v>
    <v>en-US</v>
    <v>fe2a8987-27c3-4b57-9e66-724ae2f778be</v>
    <v>536870912</v>
    <v>1</v>
    <v>197</v>
    <v>26</v>
    <v>Pasadena, California</v>
    <v>4</v>
    <v>5</v>
    <v>Map</v>
    <v>6</v>
    <v>7</v>
    <v>1</v>
    <v>73</v>
    <v>891</v>
    <v>4</v>
    <v>Pasadena is a city in Los Angeles County, California, United States, 11 miles northeast of downtown Los Angeles. It is the most populous city and the primary cultural center of the San Gabriel Valley. Old Pasadena is the city's original ...</v>
    <v>892</v>
    <v>893</v>
    <v>895</v>
    <v>896</v>
    <v>897</v>
    <v>Pasadena, California</v>
    <v>898</v>
    <v>44</v>
    <v>Pasadena, California</v>
    <v>mdp/vdpid/5059776298751098881</v>
  </rv>
  <rv s="0">
    <v>536870912</v>
    <v>Paso Robles, California</v>
    <v>3b7420e2-cc76-9270-295b-10b9f3bce6b9</v>
    <v>en-US</v>
    <v>Map</v>
  </rv>
  <rv s="1">
    <fb>50.392232</fb>
    <v>8</v>
  </rv>
  <rv s="2">
    <v>92</v>
    <v>6</v>
    <v>198</v>
    <v>7</v>
    <v>0</v>
    <v>Image of Paso Robles, California</v>
  </rv>
  <rv s="1">
    <fb>35.630000000000003</fb>
    <v>9</v>
  </rv>
  <rv s="0">
    <v>805306368</v>
    <v>John Harmon (Mayor)</v>
    <v>a1d94904-d0c8-188d-a20c-78cac90de5ee</v>
    <v>en-US</v>
    <v>Generic</v>
  </rv>
  <rv s="3">
    <v>70</v>
  </rv>
  <rv s="4">
    <v>https://www.bing.com/search?q=paso+robles+california&amp;form=skydnc</v>
    <v>Learn more on Bing</v>
  </rv>
  <rv s="1">
    <fb>-120.66</fb>
    <v>9</v>
  </rv>
  <rv s="1">
    <fb>31490</fb>
    <v>8</v>
  </rv>
  <rv s="5">
    <v>#VALUE!</v>
    <v>en-US</v>
    <v>3b7420e2-cc76-9270-295b-10b9f3bce6b9</v>
    <v>536870912</v>
    <v>1</v>
    <v>199</v>
    <v>2</v>
    <v>Paso Robles, California</v>
    <v>4</v>
    <v>5</v>
    <v>Map</v>
    <v>6</v>
    <v>7</v>
    <v>1</v>
    <v>763</v>
    <v>901</v>
    <v>4</v>
    <v>Paso Robles, officially El Paso de Robles, is a city in San Luis Obispo County, California, United States. Located on the Salinas River about 30 mi north of San Luis Obispo, the city is known for its hot springs, abundance of wineries, ...</v>
    <v>902</v>
    <v>903</v>
    <v>905</v>
    <v>906</v>
    <v>907</v>
    <v>Paso Robles, California</v>
    <v>908</v>
    <v>Paso Robles, California</v>
    <v>mdp/vdpid/5059308629895675905</v>
  </rv>
  <rv s="0">
    <v>536870912</v>
    <v>Pismo Beach, California</v>
    <v>6167bdf5-e61e-0b72-ed46-b4f5df58dbe0</v>
    <v>en-US</v>
    <v>Map</v>
  </rv>
  <rv s="1">
    <fb>34.904183000000003</fb>
    <v>8</v>
  </rv>
  <rv s="2">
    <v>93</v>
    <v>6</v>
    <v>200</v>
    <v>7</v>
    <v>0</v>
    <v>Image of Pismo Beach, California</v>
  </rv>
  <rv s="1">
    <fb>35.148333333332999</fb>
    <v>9</v>
  </rv>
  <rv s="0">
    <v>805306368</v>
    <v>Ed Waage (Mayor)</v>
    <v>9a58279c-714c-298b-a4f0-94ce03d5b544</v>
    <v>en-US</v>
    <v>Generic</v>
  </rv>
  <rv s="3">
    <v>71</v>
  </rv>
  <rv s="4">
    <v>https://www.bing.com/search?q=pismo+beach+california&amp;form=skydnc</v>
    <v>Learn more on Bing</v>
  </rv>
  <rv s="1">
    <fb>-120.64805555556001</fb>
    <v>9</v>
  </rv>
  <rv s="1">
    <fb>8072</fb>
    <v>8</v>
  </rv>
  <rv s="5">
    <v>#VALUE!</v>
    <v>en-US</v>
    <v>6167bdf5-e61e-0b72-ed46-b4f5df58dbe0</v>
    <v>536870912</v>
    <v>1</v>
    <v>201</v>
    <v>2</v>
    <v>Pismo Beach, California</v>
    <v>4</v>
    <v>5</v>
    <v>Map</v>
    <v>6</v>
    <v>7</v>
    <v>1</v>
    <v>763</v>
    <v>911</v>
    <v>4</v>
    <v>Pismo Beach is a city in the southern portion of San Luis Obispo County, in the Central Coast area of California, United States. Its estimated population was 8,072 at the 2020 census, up from 7,655 in the 2010 census. It is part of the Five ...</v>
    <v>912</v>
    <v>913</v>
    <v>915</v>
    <v>916</v>
    <v>917</v>
    <v>Pismo Beach, California</v>
    <v>918</v>
    <v>Pismo Beach, California</v>
    <v>mdp/vdpid/5059515648476971009</v>
  </rv>
  <rv s="0">
    <v>536870912</v>
    <v>Placerville, California</v>
    <v>9eb5e208-62d3-cc43-eee9-b99f2697c46b</v>
    <v>en-US</v>
    <v>Map</v>
  </rv>
  <rv s="0">
    <v>536870912</v>
    <v>El Dorado County</v>
    <v>245807bc-df44-f987-8f35-b8090c52a9bf</v>
    <v>en-US</v>
    <v>Map</v>
  </rv>
  <rv s="1">
    <fb>15.054961</fb>
    <v>8</v>
  </rv>
  <rv s="2">
    <v>94</v>
    <v>6</v>
    <v>202</v>
    <v>7</v>
    <v>0</v>
    <v>Image of Placerville, California</v>
  </rv>
  <rv s="1">
    <fb>38.729722222222001</fb>
    <v>9</v>
  </rv>
  <rv s="0">
    <v>805306368</v>
    <v>Kara Taylor (Mayor)</v>
    <v>c91a7307-90a3-a1ae-42d2-c7b9bfedfa53</v>
    <v>en-US</v>
    <v>Generic</v>
  </rv>
  <rv s="3">
    <v>72</v>
  </rv>
  <rv s="4">
    <v>https://www.bing.com/search?q=placerville+california&amp;form=skydnc</v>
    <v>Learn more on Bing</v>
  </rv>
  <rv s="1">
    <fb>-120.79861111111001</fb>
    <v>9</v>
  </rv>
  <rv s="1">
    <fb>10747</fb>
    <v>8</v>
  </rv>
  <rv s="5">
    <v>#VALUE!</v>
    <v>en-US</v>
    <v>9eb5e208-62d3-cc43-eee9-b99f2697c46b</v>
    <v>536870912</v>
    <v>1</v>
    <v>203</v>
    <v>2</v>
    <v>Placerville, California</v>
    <v>4</v>
    <v>5</v>
    <v>Map</v>
    <v>6</v>
    <v>7</v>
    <v>1</v>
    <v>921</v>
    <v>922</v>
    <v>4</v>
    <v>Placerville is a city in and the county seat of El Dorado County, California. The population was 10,747 as of the 2020 census, up from 10,389 as of the 2010 census. It is part of the Sacramento–Arden-Arcade–Roseville Metropolitan Statistical Area.</v>
    <v>923</v>
    <v>924</v>
    <v>926</v>
    <v>927</v>
    <v>928</v>
    <v>Placerville, California</v>
    <v>929</v>
    <v>Placerville, California</v>
    <v>mdp/vdpid/5058129195167645697</v>
  </rv>
  <rv s="0">
    <v>536870912</v>
    <v>Pleasanton, California</v>
    <v>61f1690d-00ef-4f37-9af4-c6425feb577a</v>
    <v>en-US</v>
    <v>Map</v>
  </rv>
  <rv s="1">
    <fb>62.875452000000003</fb>
    <v>8</v>
  </rv>
  <rv s="2">
    <v>95</v>
    <v>6</v>
    <v>204</v>
    <v>7</v>
    <v>0</v>
    <v>Image of Pleasanton, California</v>
  </rv>
  <rv s="1">
    <fb>37.672499999999999</fb>
    <v>9</v>
  </rv>
  <rv s="0">
    <v>805306368</v>
    <v>Karla Brown (Mayor)</v>
    <v>e21b9949-6017-35ba-7c66-3098ab1adc9d</v>
    <v>en-US</v>
    <v>Generic</v>
  </rv>
  <rv s="3">
    <v>73</v>
  </rv>
  <rv s="4">
    <v>https://www.bing.com/search?q=pleasanton+california&amp;form=skydnc</v>
    <v>Learn more on Bing</v>
  </rv>
  <rv s="1">
    <fb>-121.88249999999999</fb>
    <v>9</v>
  </rv>
  <rv s="1">
    <fb>79871</fb>
    <v>8</v>
  </rv>
  <rv s="8">
    <v>#VALUE!</v>
    <v>en-US</v>
    <v>61f1690d-00ef-4f37-9af4-c6425feb577a</v>
    <v>536870912</v>
    <v>1</v>
    <v>205</v>
    <v>26</v>
    <v>Pleasanton, California</v>
    <v>4</v>
    <v>5</v>
    <v>Map</v>
    <v>6</v>
    <v>7</v>
    <v>1</v>
    <v>117</v>
    <v>932</v>
    <v>4</v>
    <v>Pleasanton is a city in Alameda County, California, United States. Located in the Amador Valley, it is a suburb in the East Bay region of the San Francisco Bay Area. The population was 79,871 at the 2020 census. In 2005 and 2007, Pleasanton was ...</v>
    <v>933</v>
    <v>934</v>
    <v>936</v>
    <v>937</v>
    <v>938</v>
    <v>Pleasanton, California</v>
    <v>939</v>
    <v>44</v>
    <v>Pleasanton, California</v>
    <v>mdp/vdpid/5057979764413825026</v>
  </rv>
  <rv s="0">
    <v>536870912</v>
    <v>Porterville, California</v>
    <v>79629ed5-6c06-c6c9-0420-05e055e829c0</v>
    <v>en-US</v>
    <v>Map</v>
  </rv>
  <rv s="0">
    <v>536870912</v>
    <v>Tulare County</v>
    <v>efff7aa1-1e3e-4995-2e17-521e04ab4797</v>
    <v>en-US</v>
    <v>Map</v>
  </rv>
  <rv s="1">
    <fb>48.217374</fb>
    <v>8</v>
  </rv>
  <rv s="2">
    <v>96</v>
    <v>6</v>
    <v>206</v>
    <v>7</v>
    <v>0</v>
    <v>Image of Porterville, California</v>
  </rv>
  <rv s="1">
    <fb>36.068611111110997</fb>
    <v>9</v>
  </rv>
  <rv s="0">
    <v>805306368</v>
    <v>Martha A. Flores (Mayor)</v>
    <v>4bfb8755-b2c0-5d41-e450-8036ad8b0ce8</v>
    <v>en-US</v>
    <v>Generic</v>
  </rv>
  <rv s="3">
    <v>74</v>
  </rv>
  <rv s="4">
    <v>https://www.bing.com/search?q=porterville+california&amp;form=skydnc</v>
    <v>Learn more on Bing</v>
  </rv>
  <rv s="1">
    <fb>-119.0275</fb>
    <v>9</v>
  </rv>
  <rv s="1">
    <fb>62623</fb>
    <v>8</v>
  </rv>
  <rv s="8">
    <v>#VALUE!</v>
    <v>en-US</v>
    <v>79629ed5-6c06-c6c9-0420-05e055e829c0</v>
    <v>536870912</v>
    <v>1</v>
    <v>207</v>
    <v>26</v>
    <v>Porterville, California</v>
    <v>4</v>
    <v>5</v>
    <v>Map</v>
    <v>6</v>
    <v>7</v>
    <v>1</v>
    <v>942</v>
    <v>943</v>
    <v>4</v>
    <v>Porterville is a city at the base of Southern Sierra Nevada mountains on the eastern side of San Joaquin Valley, in Tulare County, California, United States. It is part of the Visalia-Porterville metropolitan statistical area. Serving as the ...</v>
    <v>944</v>
    <v>945</v>
    <v>947</v>
    <v>948</v>
    <v>949</v>
    <v>Porterville, California</v>
    <v>950</v>
    <v>44</v>
    <v>Porterville, California</v>
    <v>mdp/vdpid/5059400474231308290</v>
  </rv>
  <rv s="0">
    <v>536870912</v>
    <v>Red Bluff, California</v>
    <v>2c36a932-8867-fb14-c442-eae0a9085bbe</v>
    <v>en-US</v>
    <v>Map</v>
  </rv>
  <rv s="0">
    <v>536870912</v>
    <v>Tehama County</v>
    <v>9cd4cc83-af15-30fd-6977-7050cfb7d952</v>
    <v>en-US</v>
    <v>Map</v>
  </rv>
  <rv s="1">
    <fb>19.882165000000001</fb>
    <v>8</v>
  </rv>
  <rv s="2">
    <v>97</v>
    <v>6</v>
    <v>208</v>
    <v>7</v>
    <v>0</v>
    <v>Image of Red Bluff, California</v>
  </rv>
  <rv s="1">
    <fb>40.176666666667003</fb>
    <v>9</v>
  </rv>
  <rv s="4">
    <v>https://www.bing.com/search?q=red+bluff+california&amp;form=skydnc</v>
    <v>Learn more on Bing</v>
  </rv>
  <rv s="1">
    <fb>-122.23805555556</fb>
    <v>9</v>
  </rv>
  <rv s="1">
    <fb>14710</fb>
    <v>8</v>
  </rv>
  <rv s="9">
    <v>#VALUE!</v>
    <v>en-US</v>
    <v>2c36a932-8867-fb14-c442-eae0a9085bbe</v>
    <v>536870912</v>
    <v>1</v>
    <v>209</v>
    <v>61</v>
    <v>Red Bluff, California</v>
    <v>4</v>
    <v>5</v>
    <v>Map</v>
    <v>6</v>
    <v>7</v>
    <v>1</v>
    <v>953</v>
    <v>954</v>
    <v>4</v>
    <v>Red Bluff is a city in and the county seat of Tehama County, California, United States. The population was 14,710 at the 2020 census, up from 14,076 at the 2010 census. It is located 131 miles north of Sacramento, 31 miles south of Redding, and ...</v>
    <v>955</v>
    <v>956</v>
    <v>957</v>
    <v>958</v>
    <v>Red Bluff, California</v>
    <v>959</v>
    <v>Red Bluff, California</v>
    <v>mdp/vdpid/5054609524682391553</v>
  </rv>
  <rv s="0">
    <v>536870912</v>
    <v>Redding, California</v>
    <v>24306438-6201-4d15-991f-5faaf959c954</v>
    <v>en-US</v>
    <v>Map</v>
  </rv>
  <rv s="0">
    <v>536870912</v>
    <v>Shasta County</v>
    <v>458fb989-f790-0ed5-817f-1e5f36be734e</v>
    <v>en-US</v>
    <v>Map</v>
  </rv>
  <rv s="1">
    <fb>158.44226800000001</fb>
    <v>8</v>
  </rv>
  <rv s="2">
    <v>98</v>
    <v>6</v>
    <v>210</v>
    <v>7</v>
    <v>0</v>
    <v>Image of Redding, California</v>
  </rv>
  <rv s="1">
    <fb>40.576666666667002</fb>
    <v>9</v>
  </rv>
  <rv s="3">
    <v>75</v>
  </rv>
  <rv s="4">
    <v>https://www.bing.com/search?q=redding+california&amp;form=skydnc</v>
    <v>Learn more on Bing</v>
  </rv>
  <rv s="1">
    <fb>-122.37027777778</fb>
    <v>9</v>
  </rv>
  <rv s="1">
    <fb>93611</fb>
    <v>8</v>
  </rv>
  <rv s="5">
    <v>#VALUE!</v>
    <v>en-US</v>
    <v>24306438-6201-4d15-991f-5faaf959c954</v>
    <v>536870912</v>
    <v>1</v>
    <v>211</v>
    <v>2</v>
    <v>Redding, California</v>
    <v>4</v>
    <v>5</v>
    <v>Map</v>
    <v>6</v>
    <v>7</v>
    <v>1</v>
    <v>962</v>
    <v>963</v>
    <v>4</v>
    <v>Redding is the economic and cultural capital of the Shasta Cascade region of Northern California and the county seat of Shasta County. Redding lies along the Sacramento River, 162 miles north of Sacramento, and 120 miles south of California's ...</v>
    <v>964</v>
    <v>965</v>
    <v>966</v>
    <v>967</v>
    <v>968</v>
    <v>Redding, California</v>
    <v>969</v>
    <v>Redding, California</v>
    <v>mdp/vdpid/5054497339482308609</v>
  </rv>
  <rv s="0">
    <v>536870912</v>
    <v>Richmond, California</v>
    <v>bc4764b5-1bf4-47a0-8ef8-8f92f87d0afc</v>
    <v>en-US</v>
    <v>Map</v>
  </rv>
  <rv s="1">
    <fb>136.00664399999999</fb>
    <v>8</v>
  </rv>
  <rv s="2">
    <v>99</v>
    <v>6</v>
    <v>212</v>
    <v>7</v>
    <v>0</v>
    <v>Image of Richmond, California</v>
  </rv>
  <rv s="1">
    <fb>37.935833333333001</fb>
    <v>9</v>
  </rv>
  <rv s="0">
    <v>805306368</v>
    <v>Eduardo Martinez (Mayor)</v>
    <v>4fd0e747-fbff-43b0-41b4-5323363696dd</v>
    <v>en-US</v>
    <v>Generic</v>
  </rv>
  <rv s="3">
    <v>76</v>
  </rv>
  <rv s="4">
    <v>https://www.bing.com/search?q=richmond+california&amp;form=skydnc</v>
    <v>Learn more on Bing</v>
  </rv>
  <rv s="1">
    <fb>-122.34777777778</fb>
    <v>9</v>
  </rv>
  <rv s="1">
    <fb>116448</fb>
    <v>8</v>
  </rv>
  <rv s="5">
    <v>#VALUE!</v>
    <v>en-US</v>
    <v>bc4764b5-1bf4-47a0-8ef8-8f92f87d0afc</v>
    <v>536870912</v>
    <v>1</v>
    <v>213</v>
    <v>2</v>
    <v>Richmond, California</v>
    <v>4</v>
    <v>5</v>
    <v>Map</v>
    <v>6</v>
    <v>7</v>
    <v>1</v>
    <v>26</v>
    <v>972</v>
    <v>4</v>
    <v>Richmond is a city in western Contra Costa County, California, United States. The city was incorporated on August 7, 1905, and has a city council. Located in the San Francisco Bay Area's East Bay region, Richmond borders San Pablo, Albany, El ...</v>
    <v>973</v>
    <v>974</v>
    <v>976</v>
    <v>977</v>
    <v>978</v>
    <v>Richmond, California</v>
    <v>979</v>
    <v>Richmond, California</v>
    <v>mdp/vdpid/5057964683961565185</v>
  </rv>
  <rv s="0">
    <v>536870912</v>
    <v>Ridgecrest, California</v>
    <v>0eda87a0-1814-f86d-6996-69c61a4b6641</v>
    <v>en-US</v>
    <v>Map</v>
  </rv>
  <rv s="1">
    <fb>55.764873000000001</fb>
    <v>8</v>
  </rv>
  <rv s="2">
    <v>100</v>
    <v>6</v>
    <v>214</v>
    <v>7</v>
    <v>0</v>
    <v>Image of Ridgecrest, California</v>
  </rv>
  <rv s="1">
    <fb>35.622500000000002</fb>
    <v>9</v>
  </rv>
  <rv s="0">
    <v>805306368</v>
    <v>Eric A. Bruen (Mayor)</v>
    <v>95531e3e-ef34-8e05-08c1-837a6fcce6ac</v>
    <v>en-US</v>
    <v>Generic</v>
  </rv>
  <rv s="3">
    <v>77</v>
  </rv>
  <rv s="4">
    <v>https://www.bing.com/search?q=ridgecrest+california&amp;form=skydnc</v>
    <v>Learn more on Bing</v>
  </rv>
  <rv s="1">
    <fb>-117.67083333332999</fb>
    <v>9</v>
  </rv>
  <rv s="1">
    <fb>27959</fb>
    <v>8</v>
  </rv>
  <rv s="5">
    <v>#VALUE!</v>
    <v>en-US</v>
    <v>0eda87a0-1814-f86d-6996-69c61a4b6641</v>
    <v>536870912</v>
    <v>1</v>
    <v>215</v>
    <v>2</v>
    <v>Ridgecrest, California</v>
    <v>4</v>
    <v>5</v>
    <v>Map</v>
    <v>6</v>
    <v>7</v>
    <v>1</v>
    <v>84</v>
    <v>982</v>
    <v>4</v>
    <v>Ridgecrest is a city in Kern County, California, United States, along U.S. Route 395 in the Indian Wells Valley in northeastern Kern County, adjacent to the Naval Air Weapons Station China Lake. It was incorporated as a city in 1963. The ...</v>
    <v>983</v>
    <v>984</v>
    <v>986</v>
    <v>987</v>
    <v>988</v>
    <v>Ridgecrest, California</v>
    <v>989</v>
    <v>Ridgecrest, California</v>
    <v>mdp/vdpid/5061004490249863169</v>
  </rv>
  <rv s="0">
    <v>536870912</v>
    <v>Riverside, California</v>
    <v>14b94e7d-8d00-45c9-94ec-8f26bbaaad4a</v>
    <v>en-US</v>
    <v>Map</v>
  </rv>
  <rv s="1">
    <fb>211.18160800000001</fb>
    <v>8</v>
  </rv>
  <rv s="2">
    <v>101</v>
    <v>6</v>
    <v>216</v>
    <v>7</v>
    <v>0</v>
    <v>Image of Riverside, California</v>
  </rv>
  <rv s="1">
    <fb>33.982222222222198</fb>
    <v>9</v>
  </rv>
  <rv s="0">
    <v>805306368</v>
    <v>Patricia Lock Dawson (Mayor)</v>
    <v>3dae0f84-a685-0d4c-a7ce-596ecc9e720f</v>
    <v>en-US</v>
    <v>Generic</v>
  </rv>
  <rv s="3">
    <v>78</v>
  </rv>
  <rv s="4">
    <v>https://www.bing.com/search?q=riverside+california&amp;form=skydnc</v>
    <v>Learn more on Bing</v>
  </rv>
  <rv s="1">
    <fb>-117.3725</fb>
    <v>9</v>
  </rv>
  <rv s="1">
    <fb>314998</fb>
    <v>8</v>
  </rv>
  <rv s="8">
    <v>#VALUE!</v>
    <v>en-US</v>
    <v>14b94e7d-8d00-45c9-94ec-8f26bbaaad4a</v>
    <v>536870912</v>
    <v>1</v>
    <v>217</v>
    <v>26</v>
    <v>Riverside, California</v>
    <v>4</v>
    <v>5</v>
    <v>Map</v>
    <v>6</v>
    <v>7</v>
    <v>1</v>
    <v>106</v>
    <v>992</v>
    <v>4</v>
    <v>Riverside is a city in and the county seat of Riverside County, California, United States, in the Inland Empire metropolitan area. It is named for its location beside the Santa Ana River. It is the most populous city in the Inland Empire and in ...</v>
    <v>993</v>
    <v>994</v>
    <v>996</v>
    <v>997</v>
    <v>998</v>
    <v>Riverside, California</v>
    <v>999</v>
    <v>44</v>
    <v>Riverside, California</v>
    <v>mdp/vdpid/5061326027221893121</v>
  </rv>
  <rv s="0">
    <v>536870912</v>
    <v>Roseville, California</v>
    <v>2eb5e6f3-514f-43c9-89a8-37cf07a7766f</v>
    <v>en-US</v>
    <v>Map</v>
  </rv>
  <rv s="0">
    <v>536870912</v>
    <v>Placer County</v>
    <v>20bf03a7-d09d-c813-5a3f-1b0adb3806da</v>
    <v>en-US</v>
    <v>Map</v>
  </rv>
  <rv s="1">
    <fb>111.34121399999999</fb>
    <v>8</v>
  </rv>
  <rv s="2">
    <v>102</v>
    <v>6</v>
    <v>218</v>
    <v>7</v>
    <v>0</v>
    <v>Image of Roseville, California</v>
  </rv>
  <rv s="1">
    <fb>38.752499999999998</fb>
    <v>9</v>
  </rv>
  <rv s="0">
    <v>805306368</v>
    <v>Bruce Houdesheldt (Mayor)</v>
    <v>b813f191-65ee-401a-7ca8-ff16b5244ed4</v>
    <v>en-US</v>
    <v>Generic</v>
  </rv>
  <rv s="3">
    <v>79</v>
  </rv>
  <rv s="4">
    <v>https://www.bing.com/search?q=roseville+california&amp;form=skydnc</v>
    <v>Learn more on Bing</v>
  </rv>
  <rv s="1">
    <fb>-121.28944444443999</fb>
    <v>9</v>
  </rv>
  <rv s="1">
    <fb>147773</fb>
    <v>8</v>
  </rv>
  <rv s="5">
    <v>#VALUE!</v>
    <v>en-US</v>
    <v>2eb5e6f3-514f-43c9-89a8-37cf07a7766f</v>
    <v>536870912</v>
    <v>1</v>
    <v>219</v>
    <v>2</v>
    <v>Roseville, California</v>
    <v>4</v>
    <v>5</v>
    <v>Map</v>
    <v>6</v>
    <v>7</v>
    <v>1</v>
    <v>1002</v>
    <v>1003</v>
    <v>4</v>
    <v>Roseville is the most populous city in Placer County, California, located within the Sacramento metropolitan area. As of 2019, the US Census Bureau estimated the city's population to be 141,500. Interstate 80 runs through Roseville and State ...</v>
    <v>1004</v>
    <v>1005</v>
    <v>1007</v>
    <v>1008</v>
    <v>1009</v>
    <v>Roseville, California</v>
    <v>1010</v>
    <v>Roseville, California</v>
    <v>mdp/vdpid/5057750209048608770</v>
  </rv>
  <rv s="0">
    <v>536870912</v>
    <v>Sacramento, California</v>
    <v>4a1a8070-cc3d-4060-af9c-08ccbbca73d7</v>
    <v>en-US</v>
    <v>Map</v>
  </rv>
  <rv s="1">
    <fb>259.273528</fb>
    <v>8</v>
  </rv>
  <rv s="2">
    <v>103</v>
    <v>6</v>
    <v>220</v>
    <v>7</v>
    <v>0</v>
    <v>Image of Sacramento, California</v>
  </rv>
  <rv s="1">
    <fb>38.575277777777998</fb>
    <v>9</v>
  </rv>
  <rv s="0">
    <v>805306368</v>
    <v>Darrell Steinberg (Mayor)</v>
    <v>3c00f8f3-04b9-4b09-e7f9-7d0a09d214e2</v>
    <v>en-US</v>
    <v>Generic</v>
  </rv>
  <rv s="3">
    <v>80</v>
  </rv>
  <rv s="4">
    <v>https://www.bing.com/search?q=sacramento+california&amp;form=skydnc</v>
    <v>Learn more on Bing</v>
  </rv>
  <rv s="1">
    <fb>-121.48611111111001</fb>
    <v>9</v>
  </rv>
  <rv s="1">
    <fb>524943</fb>
    <v>8</v>
  </rv>
  <rv s="5">
    <v>#VALUE!</v>
    <v>en-US</v>
    <v>4a1a8070-cc3d-4060-af9c-08ccbbca73d7</v>
    <v>536870912</v>
    <v>1</v>
    <v>221</v>
    <v>2</v>
    <v>Sacramento, California</v>
    <v>4</v>
    <v>5</v>
    <v>Map</v>
    <v>6</v>
    <v>7</v>
    <v>1</v>
    <v>369</v>
    <v>1013</v>
    <v>4</v>
    <v>Sacramento is the capital city of the U.S. state of California and the county seat of Sacramento County. Located at the confluence of the Sacramento and American Rivers in Northern California's Sacramento Valley, Sacramento's 2020 population of ...</v>
    <v>1014</v>
    <v>1015</v>
    <v>1017</v>
    <v>1018</v>
    <v>1019</v>
    <v>Sacramento, California</v>
    <v>1020</v>
    <v>Sacramento, California</v>
    <v>mdp/vdpid/5057790478930411522</v>
  </rv>
  <rv s="0">
    <v>536870912</v>
    <v>Salinas, California</v>
    <v>ab877b14-1d08-405f-8b2b-5228faa6f437</v>
    <v>en-US</v>
    <v>Map</v>
  </rv>
  <rv s="1">
    <fb>61.249403000000001</fb>
    <v>8</v>
  </rv>
  <rv s="2">
    <v>104</v>
    <v>6</v>
    <v>222</v>
    <v>7</v>
    <v>0</v>
    <v>Image of Salinas, California</v>
  </rv>
  <rv s="1">
    <fb>36.677777777777997</fb>
    <v>9</v>
  </rv>
  <rv s="0">
    <v>805306368</v>
    <v>Kimbley Craig (Mayor)</v>
    <v>a2fd0cce-b789-0a9d-7021-afc50a61ef0b</v>
    <v>en-US</v>
    <v>Generic</v>
  </rv>
  <rv s="3">
    <v>81</v>
  </rv>
  <rv s="4">
    <v>https://www.bing.com/search?q=salinas+california&amp;form=skydnc</v>
    <v>Learn more on Bing</v>
  </rv>
  <rv s="1">
    <fb>-121.65555555556</fb>
    <v>9</v>
  </rv>
  <rv s="1">
    <fb>163542</fb>
    <v>8</v>
  </rv>
  <rv s="5">
    <v>#VALUE!</v>
    <v>en-US</v>
    <v>ab877b14-1d08-405f-8b2b-5228faa6f437</v>
    <v>536870912</v>
    <v>1</v>
    <v>223</v>
    <v>2</v>
    <v>Salinas, California</v>
    <v>4</v>
    <v>5</v>
    <v>Map</v>
    <v>6</v>
    <v>7</v>
    <v>1</v>
    <v>584</v>
    <v>1023</v>
    <v>4</v>
    <v>Salinas is a city in the U.S. state of California and the county seat of Monterey County. With a population of 163,542 in the 2020 Census, Salinas is the most populous city in Monterey County. Salinas is an urban area located along the eastern ...</v>
    <v>1024</v>
    <v>1025</v>
    <v>1027</v>
    <v>1028</v>
    <v>1029</v>
    <v>Salinas, California</v>
    <v>1030</v>
    <v>Salinas, California</v>
    <v>mdp/vdpid/5058069032658272257</v>
  </rv>
  <rv s="0">
    <v>536870912</v>
    <v>San Bernardino, California</v>
    <v>657ea588-9129-48c9-9c19-3da03eb69be7</v>
    <v>en-US</v>
    <v>Map</v>
  </rv>
  <rv s="1">
    <fb>160.45290900000001</fb>
    <v>8</v>
  </rv>
  <rv s="2">
    <v>105</v>
    <v>6</v>
    <v>224</v>
    <v>7</v>
    <v>0</v>
    <v>Image of San Bernardino, California</v>
  </rv>
  <rv s="1">
    <fb>34.129444444443997</fb>
    <v>9</v>
  </rv>
  <rv s="0">
    <v>805306368</v>
    <v>Helen Tran (Mayor)</v>
    <v>5dec7ac2-2a67-b92a-bfcf-3d687d6c6c93</v>
    <v>en-US</v>
    <v>Generic</v>
  </rv>
  <rv s="3">
    <v>82</v>
  </rv>
  <rv s="4">
    <v>https://www.bing.com/search?q=sb+city&amp;form=skydnc</v>
    <v>Learn more on Bing</v>
  </rv>
  <rv s="1">
    <fb>-117.29305555556</fb>
    <v>9</v>
  </rv>
  <rv s="1">
    <fb>222101</fb>
    <v>8</v>
  </rv>
  <rv s="5">
    <v>#VALUE!</v>
    <v>en-US</v>
    <v>657ea588-9129-48c9-9c19-3da03eb69be7</v>
    <v>536870912</v>
    <v>1</v>
    <v>225</v>
    <v>2</v>
    <v>San Bernardino, California</v>
    <v>4</v>
    <v>5</v>
    <v>Map</v>
    <v>6</v>
    <v>7</v>
    <v>1</v>
    <v>95</v>
    <v>1033</v>
    <v>4</v>
    <v>San Bernardino is a city and county seat of San Bernardino County, California, United States. Located in the Inland Empire region of Southern California, the city had a population of 222,101 in the 2020 census, making it the 18th-largest city in ...</v>
    <v>1034</v>
    <v>1035</v>
    <v>1037</v>
    <v>1038</v>
    <v>1039</v>
    <v>San Bernardino, California</v>
    <v>1040</v>
    <v>San Bernardino, California</v>
    <v>mdp/vdpid/5061313555039518721</v>
  </rv>
  <rv s="0">
    <v>536870912</v>
    <v>San Diego</v>
    <v>dbb1c326-5b67-4591-a264-0929e070e5ee</v>
    <v>en-US</v>
    <v>Map</v>
  </rv>
  <rv s="1">
    <fb>964.49716799999999</fb>
    <v>8</v>
  </rv>
  <rv s="2">
    <v>106</v>
    <v>6</v>
    <v>226</v>
    <v>7</v>
    <v>0</v>
    <v>Image of San Diego</v>
  </rv>
  <rv s="1">
    <fb>32.715000000000003</fb>
    <v>9</v>
  </rv>
  <rv s="0">
    <v>805306368</v>
    <v>Todd Gloria (Mayor)</v>
    <v>2fc6fcef-e2af-f0aa-67d9-ef6440c2a9ce</v>
    <v>en-US</v>
    <v>Generic</v>
  </rv>
  <rv s="3">
    <v>83</v>
  </rv>
  <rv s="4">
    <v>https://www.bing.com/search?q=san+diego&amp;form=skydnc</v>
    <v>Learn more on Bing</v>
  </rv>
  <rv s="1">
    <fb>-117.16249999999999</fb>
    <v>9</v>
  </rv>
  <rv s="1">
    <fb>1386932</fb>
    <v>8</v>
  </rv>
  <rv s="8">
    <v>#VALUE!</v>
    <v>en-US</v>
    <v>dbb1c326-5b67-4591-a264-0929e070e5ee</v>
    <v>536870912</v>
    <v>1</v>
    <v>227</v>
    <v>26</v>
    <v>San Diego</v>
    <v>4</v>
    <v>5</v>
    <v>Map</v>
    <v>6</v>
    <v>7</v>
    <v>1</v>
    <v>185</v>
    <v>1043</v>
    <v>4</v>
    <v>San Diego is a city in the U.S. state of California located alongside the Pacific Ocean in Southern California. With a population of over 1.3 million residents, the city is the eighth-most populous in the United States and the second-most ...</v>
    <v>1044</v>
    <v>1045</v>
    <v>1047</v>
    <v>1048</v>
    <v>1049</v>
    <v>San Diego</v>
    <v>1050</v>
    <v>44</v>
    <v>San Diego</v>
    <v>mdp/vdpid/5073418765945798657</v>
  </rv>
  <rv s="0">
    <v>536870912</v>
    <v>San Francisco</v>
    <v>37181124-e096-403d-a455-576a61b83525</v>
    <v>en-US</v>
    <v>Map</v>
  </rv>
  <rv s="1">
    <fb>600.59220200000004</fb>
    <v>8</v>
  </rv>
  <rv s="2">
    <v>107</v>
    <v>6</v>
    <v>228</v>
    <v>7</v>
    <v>0</v>
    <v>Image of San Francisco</v>
  </rv>
  <rv s="1">
    <fb>37.777500000000003</fb>
    <v>9</v>
  </rv>
  <rv s="0">
    <v>805306368</v>
    <v>London Breed (Mayor)</v>
    <v>7d958ba2-a84e-42c3-84e3-75d7e4087e34</v>
    <v>en-US</v>
    <v>Generic</v>
  </rv>
  <rv s="3">
    <v>84</v>
  </rv>
  <rv s="4">
    <v>https://www.bing.com/search?q=san+francisco&amp;form=skydnc</v>
    <v>Learn more on Bing</v>
  </rv>
  <rv s="1">
    <fb>-122.416388888889</fb>
    <v>9</v>
  </rv>
  <rv s="1">
    <fb>873965</fb>
    <v>8</v>
  </rv>
  <rv s="11">
    <v>#VALUE!</v>
    <v>en-US</v>
    <v>37181124-e096-403d-a455-576a61b83525</v>
    <v>536870912</v>
    <v>1</v>
    <v>229</v>
    <v>230</v>
    <v>San Francisco</v>
    <v>4</v>
    <v>5</v>
    <v>Map</v>
    <v>6</v>
    <v>7</v>
    <v>1</v>
    <v>1053</v>
    <v>4</v>
    <v>San Francisco, officially the City and County of San Francisco, is the commercial, financial, and cultural center of Northern California. The city proper is the fourth most populous city in California, with 808,437 residents, and the 17th most ...</v>
    <v>1054</v>
    <v>1055</v>
    <v>1057</v>
    <v>1058</v>
    <v>1059</v>
    <v>San Francisco</v>
    <v>1060</v>
    <v>44</v>
    <v>San Francisco</v>
    <v>mdp/vdpid/5057864695344529409</v>
  </rv>
  <rv s="0">
    <v>536870912</v>
    <v>San Jose, California</v>
    <v>9e29752d-7c58-41ab-9226-27afc9a96968</v>
    <v>en-US</v>
    <v>Map</v>
  </rv>
  <rv s="1">
    <fb>467.55307800000003</fb>
    <v>8</v>
  </rv>
  <rv s="2">
    <v>108</v>
    <v>6</v>
    <v>231</v>
    <v>7</v>
    <v>0</v>
    <v>Image of San Jose, California</v>
  </rv>
  <rv s="1">
    <fb>37.304166666667001</fb>
    <v>9</v>
  </rv>
  <rv s="0">
    <v>805306368</v>
    <v>Matt Mahan (Mayor)</v>
    <v>00b1ed33-9275-0406-ed19-d091b2e5c5ef</v>
    <v>en-US</v>
    <v>Generic</v>
  </rv>
  <rv s="3">
    <v>85</v>
  </rv>
  <rv s="4">
    <v>https://www.bing.com/search?q=san+jose+california&amp;form=skydnc</v>
    <v>Learn more on Bing</v>
  </rv>
  <rv s="1">
    <fb>-121.87277777778</fb>
    <v>9</v>
  </rv>
  <rv s="1">
    <fb>1013240</fb>
    <v>8</v>
  </rv>
  <rv s="8">
    <v>#VALUE!</v>
    <v>en-US</v>
    <v>9e29752d-7c58-41ab-9226-27afc9a96968</v>
    <v>536870912</v>
    <v>1</v>
    <v>232</v>
    <v>26</v>
    <v>San Jose, California</v>
    <v>4</v>
    <v>5</v>
    <v>Map</v>
    <v>6</v>
    <v>7</v>
    <v>1</v>
    <v>458</v>
    <v>1063</v>
    <v>4</v>
    <v>San Jose, officially the City of San José, is the largest city in Northern California by both population and area. With a 2022 population of 971,233, it is the most populous city in both the Bay Area and the San Jose–San Francisco–Oakland ...</v>
    <v>1064</v>
    <v>1065</v>
    <v>1067</v>
    <v>1068</v>
    <v>1069</v>
    <v>San Jose, California</v>
    <v>1070</v>
    <v>44</v>
    <v>San Jose, California</v>
    <v>mdp/vdpid/5057996464974725121</v>
  </rv>
  <rv s="0">
    <v>536870912</v>
    <v>San Luis Obispo, California</v>
    <v>d9bc9cd8-528b-9a24-df56-c2a08adac08e</v>
    <v>en-US</v>
    <v>Map</v>
  </rv>
  <rv s="1">
    <fb>34.407674</fb>
    <v>8</v>
  </rv>
  <rv s="2">
    <v>109</v>
    <v>6</v>
    <v>233</v>
    <v>7</v>
    <v>0</v>
    <v>Image of San Luis Obispo, California</v>
  </rv>
  <rv s="1">
    <fb>35.274166666667</fb>
    <v>9</v>
  </rv>
  <rv s="0">
    <v>805306368</v>
    <v>Erica A. Stewart (Mayor)</v>
    <v>67ced74a-9a1e-9c7c-13c5-f9feea8d636f</v>
    <v>en-US</v>
    <v>Generic</v>
  </rv>
  <rv s="3">
    <v>86</v>
  </rv>
  <rv s="4">
    <v>https://www.bing.com/search?q=san+luis+obispo+california&amp;form=skydnc</v>
    <v>Learn more on Bing</v>
  </rv>
  <rv s="1">
    <fb>-120.66305555556001</fb>
    <v>9</v>
  </rv>
  <rv s="1">
    <fb>47063</fb>
    <v>8</v>
  </rv>
  <rv s="8">
    <v>#VALUE!</v>
    <v>en-US</v>
    <v>d9bc9cd8-528b-9a24-df56-c2a08adac08e</v>
    <v>536870912</v>
    <v>1</v>
    <v>234</v>
    <v>26</v>
    <v>San Luis Obispo, California</v>
    <v>4</v>
    <v>5</v>
    <v>Map</v>
    <v>6</v>
    <v>7</v>
    <v>1</v>
    <v>763</v>
    <v>1073</v>
    <v>4</v>
    <v>San Luis Obispo is a city and county seat of San Luis Obispo County, in the U.S. state of California. Located on the Central Coast of California, San Luis Obispo is roughly halfway between the San Francisco Bay Area in the north and Greater Los ...</v>
    <v>1074</v>
    <v>1075</v>
    <v>1077</v>
    <v>1078</v>
    <v>1079</v>
    <v>San Luis Obispo, California</v>
    <v>1080</v>
    <v>44</v>
    <v>San Luis Obispo, California</v>
    <v>mdp/vdpid/5059326634750902273</v>
  </rv>
  <rv s="0">
    <v>536870912</v>
    <v>San Mateo, California</v>
    <v>f5ed4a42-24b1-49a6-affb-3f4e9448cec8</v>
    <v>en-US</v>
    <v>Map</v>
  </rv>
  <rv s="1">
    <fb>41.137369</fb>
    <v>8</v>
  </rv>
  <rv s="2">
    <v>110</v>
    <v>6</v>
    <v>235</v>
    <v>7</v>
    <v>0</v>
    <v>Image of San Mateo, California</v>
  </rv>
  <rv s="1">
    <fb>37.554166666667001</fb>
    <v>9</v>
  </rv>
  <rv s="0">
    <v>805306368</v>
    <v>Amourence Lee (Mayor)</v>
    <v>8663a5ab-7772-6090-c213-741f7f0bd9ae</v>
    <v>en-US</v>
    <v>Generic</v>
  </rv>
  <rv s="3">
    <v>87</v>
  </rv>
  <rv s="4">
    <v>https://www.bing.com/search?q=san+mateo+california&amp;form=skydnc</v>
    <v>Learn more on Bing</v>
  </rv>
  <rv s="1">
    <fb>-122.31305555556</fb>
    <v>9</v>
  </rv>
  <rv s="1">
    <fb>105661</fb>
    <v>8</v>
  </rv>
  <rv s="8">
    <v>#VALUE!</v>
    <v>en-US</v>
    <v>f5ed4a42-24b1-49a6-affb-3f4e9448cec8</v>
    <v>536870912</v>
    <v>1</v>
    <v>236</v>
    <v>26</v>
    <v>San Mateo, California</v>
    <v>4</v>
    <v>5</v>
    <v>Map</v>
    <v>6</v>
    <v>7</v>
    <v>1</v>
    <v>479</v>
    <v>1083</v>
    <v>4</v>
    <v>San Mateo is a city in San Mateo County, California, United States, on the San Francisco Peninsula. About 20 miles south of San Francisco, the city borders Burlingame to the north, Hillsborough to the west, San Francisco Bay and Foster City to ...</v>
    <v>1084</v>
    <v>1085</v>
    <v>1087</v>
    <v>1088</v>
    <v>1089</v>
    <v>San Mateo, California</v>
    <v>1090</v>
    <v>44</v>
    <v>San Mateo, California</v>
    <v>mdp/vdpid/5057982585049710593</v>
  </rv>
  <rv s="0">
    <v>536870912</v>
    <v>San Rafael, California</v>
    <v>7d18cb3d-e447-6c47-1afb-bf5041869283</v>
    <v>en-US</v>
    <v>Map</v>
  </rv>
  <rv s="0">
    <v>536870912</v>
    <v>Marin County</v>
    <v>6cade01e-36ee-d643-e697-a137df2145a7</v>
    <v>en-US</v>
    <v>Map</v>
  </rv>
  <rv s="1">
    <fb>58.318204000000001</fb>
    <v>8</v>
  </rv>
  <rv s="2">
    <v>111</v>
    <v>6</v>
    <v>237</v>
    <v>7</v>
    <v>0</v>
    <v>Image of San Rafael, California</v>
  </rv>
  <rv s="1">
    <fb>37.973611111110998</fb>
    <v>9</v>
  </rv>
  <rv s="0">
    <v>805306368</v>
    <v>Kate Colin (Mayor)</v>
    <v>fff83d5a-a8ba-2807-2cc4-b29aba162b3e</v>
    <v>en-US</v>
    <v>Generic</v>
  </rv>
  <rv s="3">
    <v>88</v>
  </rv>
  <rv s="4">
    <v>https://www.bing.com/search?q=san+rafael+california&amp;form=skydnc</v>
    <v>Learn more on Bing</v>
  </rv>
  <rv s="1">
    <fb>-122.53111111110999</fb>
    <v>9</v>
  </rv>
  <rv s="1">
    <fb>61271</fb>
    <v>8</v>
  </rv>
  <rv s="5">
    <v>#VALUE!</v>
    <v>en-US</v>
    <v>7d18cb3d-e447-6c47-1afb-bf5041869283</v>
    <v>536870912</v>
    <v>1</v>
    <v>238</v>
    <v>2</v>
    <v>San Rafael, California</v>
    <v>4</v>
    <v>5</v>
    <v>Map</v>
    <v>6</v>
    <v>7</v>
    <v>1</v>
    <v>1093</v>
    <v>1094</v>
    <v>4</v>
    <v>San Rafael is a city and the county seat of Marin County, California, United States. The city is located in the North Bay region of the San Francisco Bay Area. As of the 2020 U.S. census, the city's population was 61,271, up from 57,713 in 2010.</v>
    <v>1095</v>
    <v>1096</v>
    <v>1098</v>
    <v>1099</v>
    <v>1100</v>
    <v>San Rafael, California</v>
    <v>1101</v>
    <v>San Rafael, California</v>
    <v>mdp/vdpid/5057680904936226817</v>
  </rv>
  <rv s="0">
    <v>536870912</v>
    <v>San Simeon, California</v>
    <v>50677300-798b-59d5-296e-d42ede825a11</v>
    <v>en-US</v>
    <v>Map</v>
  </rv>
  <rv s="1">
    <fb>2.0632619999999999</fb>
    <v>8</v>
  </rv>
  <rv s="2">
    <v>112</v>
    <v>6</v>
    <v>239</v>
    <v>7</v>
    <v>0</v>
    <v>Image of San Simeon, California</v>
  </rv>
  <rv s="1">
    <fb>35.643888888889002</fb>
    <v>9</v>
  </rv>
  <rv s="4">
    <v>https://www.bing.com/search?q=san+simeon+california&amp;form=skydnc</v>
    <v>Learn more on Bing</v>
  </rv>
  <rv s="1">
    <fb>-121.18972222222</fb>
    <v>9</v>
  </rv>
  <rv s="1">
    <fb>445</fb>
    <v>8</v>
  </rv>
  <rv s="6">
    <v>#VALUE!</v>
    <v>en-US</v>
    <v>50677300-798b-59d5-296e-d42ede825a11</v>
    <v>536870912</v>
    <v>1</v>
    <v>240</v>
    <v>16</v>
    <v>San Simeon, California</v>
    <v>4</v>
    <v>5</v>
    <v>Map</v>
    <v>6</v>
    <v>7</v>
    <v>1</v>
    <v>763</v>
    <v>1104</v>
    <v>4</v>
    <v>San Simeon is a village and Census-designated place on the Pacific coast of San Luis Obispo County, California, United States. Its position along State Route 1 is about halfway between Los Angeles and San Francisco, each of those cities being ...</v>
    <v>1105</v>
    <v>1106</v>
    <v>1107</v>
    <v>1108</v>
    <v>San Simeon, California</v>
    <v>1109</v>
    <v>44</v>
    <v>San Simeon, California</v>
    <v>mdp/vdpid/5058928404796014593</v>
  </rv>
  <rv s="0">
    <v>536870912</v>
    <v>Santa Ana, California</v>
    <v>a02d4b67-353b-4b2e-b7e8-ed82fcd52a2c</v>
    <v>en-US</v>
    <v>Map</v>
  </rv>
  <rv s="1">
    <fb>70.945240999999996</fb>
    <v>8</v>
  </rv>
  <rv s="2">
    <v>113</v>
    <v>6</v>
    <v>241</v>
    <v>7</v>
    <v>0</v>
    <v>Image of Santa Ana, California</v>
  </rv>
  <rv s="1">
    <fb>33.740833333333001</fb>
    <v>9</v>
  </rv>
  <rv s="0">
    <v>805306368</v>
    <v>Valerie Amezcua (Mayor)</v>
    <v>eefe94fc-420c-4660-368a-4f13848b1065</v>
    <v>en-US</v>
    <v>Generic</v>
  </rv>
  <rv s="0">
    <v>805306368</v>
    <v>Jessie Lopez (Mayor)</v>
    <v>8ce2201b-9ee8-4f3e-260d-5f4ad22a609c</v>
    <v>en-US</v>
    <v>Generic</v>
  </rv>
  <rv s="3">
    <v>89</v>
  </rv>
  <rv s="4">
    <v>https://www.bing.com/search?q=santa+ana+california&amp;form=skydnc</v>
    <v>Learn more on Bing</v>
  </rv>
  <rv s="1">
    <fb>-117.88138888889</fb>
    <v>9</v>
  </rv>
  <rv s="1">
    <fb>310227</fb>
    <v>8</v>
  </rv>
  <rv s="5">
    <v>#VALUE!</v>
    <v>en-US</v>
    <v>a02d4b67-353b-4b2e-b7e8-ed82fcd52a2c</v>
    <v>536870912</v>
    <v>1</v>
    <v>242</v>
    <v>2</v>
    <v>Santa Ana, California</v>
    <v>4</v>
    <v>5</v>
    <v>Map</v>
    <v>6</v>
    <v>7</v>
    <v>1</v>
    <v>14</v>
    <v>1112</v>
    <v>4</v>
    <v>Santa Ana is a city in and the county seat of Orange County, California, United States. Located in the Greater Los Angeles region of Southern California, the city's population was 310,227 at the 2020 census, making Santa Ana the second most ...</v>
    <v>1113</v>
    <v>1114</v>
    <v>1117</v>
    <v>1118</v>
    <v>1119</v>
    <v>Santa Ana, California</v>
    <v>1120</v>
    <v>Santa Ana, California</v>
    <v>mdp/vdpid/5073307370801594369</v>
  </rv>
  <rv s="0">
    <v>536870912</v>
    <v>Santa Barbara, California</v>
    <v>bac0bf4b-4a8d-4d9b-90bf-b5fa0131dbc5</v>
    <v>en-US</v>
    <v>Map</v>
  </rv>
  <rv s="0">
    <v>536870912</v>
    <v>Santa Barbara County</v>
    <v>85ee1f1c-db3a-b070-273b-60933808fdf6</v>
    <v>en-US</v>
    <v>Map</v>
  </rv>
  <rv s="1">
    <fb>108.753384</fb>
    <v>8</v>
  </rv>
  <rv s="2">
    <v>114</v>
    <v>6</v>
    <v>243</v>
    <v>7</v>
    <v>0</v>
    <v>Image of Santa Barbara, California</v>
  </rv>
  <rv s="1">
    <fb>34.425833333333003</fb>
    <v>9</v>
  </rv>
  <rv s="0">
    <v>805306368</v>
    <v>Randy Rowse (Mayor)</v>
    <v>19bac65f-4cfc-ab6f-a9ce-7f19b65c3e42</v>
    <v>en-US</v>
    <v>Generic</v>
  </rv>
  <rv s="3">
    <v>90</v>
  </rv>
  <rv s="4">
    <v>https://www.bing.com/search?q=santa+barbara+california&amp;form=skydnc</v>
    <v>Learn more on Bing</v>
  </rv>
  <rv s="1">
    <fb>-119.71416666667</fb>
    <v>9</v>
  </rv>
  <rv s="1">
    <fb>88665</fb>
    <v>8</v>
  </rv>
  <rv s="8">
    <v>#VALUE!</v>
    <v>en-US</v>
    <v>bac0bf4b-4a8d-4d9b-90bf-b5fa0131dbc5</v>
    <v>536870912</v>
    <v>1</v>
    <v>244</v>
    <v>26</v>
    <v>Santa Barbara, California</v>
    <v>4</v>
    <v>5</v>
    <v>Map</v>
    <v>6</v>
    <v>7</v>
    <v>1</v>
    <v>1123</v>
    <v>1124</v>
    <v>4</v>
    <v>Santa Barbara is a coastal city in Santa Barbara County, California, of which it is also the county seat. Situated on a south-facing section of coastline, the longest such section on the West Coast of the United States excepting Alaska, the city ...</v>
    <v>1125</v>
    <v>1126</v>
    <v>1128</v>
    <v>1129</v>
    <v>1130</v>
    <v>Santa Barbara, California</v>
    <v>1131</v>
    <v>44</v>
    <v>Santa Barbara, California</v>
    <v>mdp/vdpid/5059629481233219586</v>
  </rv>
  <rv s="0">
    <v>536870912</v>
    <v>Santa Clarita, California</v>
    <v>b0481243-85ad-4738-a2b7-826aa8cad6f1</v>
    <v>en-US</v>
    <v>Map</v>
  </rv>
  <rv s="1">
    <fb>136.77759599999999</fb>
    <v>8</v>
  </rv>
  <rv s="2">
    <v>115</v>
    <v>6</v>
    <v>245</v>
    <v>7</v>
    <v>0</v>
    <v>Image of Santa Clarita, California</v>
  </rv>
  <rv s="1">
    <fb>34.3916641</fb>
    <v>9</v>
  </rv>
  <rv s="0">
    <v>805306368</v>
    <v>Jason Gibbs (Mayor)</v>
    <v>4fbcb525-98c4-7c41-072c-1b95bf252843</v>
    <v>en-US</v>
    <v>Generic</v>
  </rv>
  <rv s="3">
    <v>91</v>
  </rv>
  <rv s="4">
    <v>https://www.bing.com/search?q=santa+clarita+california&amp;form=skydnc</v>
    <v>Learn more on Bing</v>
  </rv>
  <rv s="1">
    <fb>-118.542586</fb>
    <v>9</v>
  </rv>
  <rv s="1">
    <fb>228673</fb>
    <v>8</v>
  </rv>
  <rv s="5">
    <v>#VALUE!</v>
    <v>en-US</v>
    <v>b0481243-85ad-4738-a2b7-826aa8cad6f1</v>
    <v>536870912</v>
    <v>1</v>
    <v>246</v>
    <v>2</v>
    <v>Santa Clarita, California</v>
    <v>4</v>
    <v>5</v>
    <v>Map</v>
    <v>6</v>
    <v>7</v>
    <v>1</v>
    <v>73</v>
    <v>1134</v>
    <v>4</v>
    <v>Santa Clarita is a city in northwestern Los Angeles County in the U.S. state of California. With a 2020 census population of 228,673, it is the third-most populous city in Los Angeles County, the 17th-most populous in California, and the ...</v>
    <v>1135</v>
    <v>1136</v>
    <v>1138</v>
    <v>1139</v>
    <v>1140</v>
    <v>Santa Clarita, California</v>
    <v>1141</v>
    <v>Santa Clarita, California</v>
    <v>mdp/vdpid/5059761848333631489</v>
  </rv>
  <rv s="0">
    <v>536870912</v>
    <v>Santa Cruz, California</v>
    <v>c022cb26-a315-d2e7-3451-484f558aa5d2</v>
    <v>en-US</v>
    <v>Map</v>
  </rv>
  <rv s="0">
    <v>536870912</v>
    <v>Santa Cruz County</v>
    <v>d139a1bb-b0fa-2275-6156-2b33a4fe4cb1</v>
    <v>en-US</v>
    <v>Map</v>
  </rv>
  <rv s="1">
    <fb>40.995694</fb>
    <v>8</v>
  </rv>
  <rv s="2">
    <v>116</v>
    <v>6</v>
    <v>247</v>
    <v>7</v>
    <v>0</v>
    <v>Image of Santa Cruz, California</v>
  </rv>
  <rv s="1">
    <fb>36.972050000000003</fb>
    <v>9</v>
  </rv>
  <rv s="0">
    <v>805306368</v>
    <v>Sonja Brunner (Mayor)</v>
    <v>aeae588d-c431-2ad5-e8f6-e2d99064eb5f</v>
    <v>en-US</v>
    <v>Generic</v>
  </rv>
  <rv s="3">
    <v>92</v>
  </rv>
  <rv s="4">
    <v>https://www.bing.com/search?q=santa+cruz+california&amp;form=skydnc</v>
    <v>Learn more on Bing</v>
  </rv>
  <rv s="1">
    <fb>-122.026252</fb>
    <v>9</v>
  </rv>
  <rv s="1">
    <fb>62956</fb>
    <v>8</v>
  </rv>
  <rv s="5">
    <v>#VALUE!</v>
    <v>en-US</v>
    <v>c022cb26-a315-d2e7-3451-484f558aa5d2</v>
    <v>536870912</v>
    <v>1</v>
    <v>248</v>
    <v>2</v>
    <v>Santa Cruz, California</v>
    <v>4</v>
    <v>5</v>
    <v>Map</v>
    <v>6</v>
    <v>7</v>
    <v>1</v>
    <v>1144</v>
    <v>1145</v>
    <v>4</v>
    <v>Santa Cruz is the largest city and the county seat of Santa Cruz County, in Northern California. As of the 2020 census, the city population was 62,956. Situated on the northern edge of Monterey Bay, Santa Cruz is a popular tourist destination, ...</v>
    <v>1146</v>
    <v>1147</v>
    <v>1149</v>
    <v>1150</v>
    <v>1151</v>
    <v>Santa Cruz, California</v>
    <v>1152</v>
    <v>Santa Cruz, California</v>
    <v>mdp/vdpid/5058043436263800833</v>
  </rv>
  <rv s="0">
    <v>536870912</v>
    <v>Santa Maria, California</v>
    <v>9806eba9-b379-4f46-ad97-10d9215dacb5</v>
    <v>en-US</v>
    <v>Map</v>
  </rv>
  <rv s="1">
    <fb>60.654116000000002</fb>
    <v>8</v>
  </rv>
  <rv s="2">
    <v>117</v>
    <v>6</v>
    <v>249</v>
    <v>7</v>
    <v>0</v>
    <v>Image of Santa Maria, California</v>
  </rv>
  <rv s="1">
    <fb>34.951388888888999</fb>
    <v>9</v>
  </rv>
  <rv s="0">
    <v>805306368</v>
    <v>Alice Patino (Mayor)</v>
    <v>f4057d0c-7470-755a-d63b-7c5d266757b1</v>
    <v>en-US</v>
    <v>Generic</v>
  </rv>
  <rv s="3">
    <v>93</v>
  </rv>
  <rv s="4">
    <v>https://www.bing.com/search?q=santa+maria+california&amp;form=skydnc</v>
    <v>Learn more on Bing</v>
  </rv>
  <rv s="1">
    <fb>-120.43333333333</fb>
    <v>9</v>
  </rv>
  <rv s="1">
    <fb>109707</fb>
    <v>8</v>
  </rv>
  <rv s="5">
    <v>#VALUE!</v>
    <v>en-US</v>
    <v>9806eba9-b379-4f46-ad97-10d9215dacb5</v>
    <v>536870912</v>
    <v>1</v>
    <v>250</v>
    <v>2</v>
    <v>Santa Maria, California</v>
    <v>4</v>
    <v>5</v>
    <v>Map</v>
    <v>6</v>
    <v>7</v>
    <v>1</v>
    <v>1123</v>
    <v>1155</v>
    <v>4</v>
    <v>Santa Maria is a city in the Central Coast of California in northern Santa Barbara County. It is approximately 65 miles northwest of Santa Barbara and 150 miles northwest of downtown Los Angeles. Its population was 109,707 at the 2020 census, ...</v>
    <v>1156</v>
    <v>1157</v>
    <v>1159</v>
    <v>1160</v>
    <v>1161</v>
    <v>Santa Maria, California</v>
    <v>1162</v>
    <v>Santa Maria, California</v>
    <v>mdp/vdpid/5059526780008792066</v>
  </rv>
  <rv s="0">
    <v>536870912</v>
    <v>Santa Rosa, California</v>
    <v>d7cb1c21-6aef-4738-bf9f-e926f895fd7b</v>
    <v>en-US</v>
    <v>Map</v>
  </rv>
  <rv s="1">
    <fb>107.478244</fb>
    <v>8</v>
  </rv>
  <rv s="2">
    <v>118</v>
    <v>6</v>
    <v>251</v>
    <v>7</v>
    <v>0</v>
    <v>Image of Santa Rosa, California</v>
  </rv>
  <rv s="1">
    <fb>38.448611111110999</fb>
    <v>9</v>
  </rv>
  <rv s="0">
    <v>805306368</v>
    <v>Natalie Rogers (Mayor)</v>
    <v>3320c264-ef57-8f8b-4354-075007c691bd</v>
    <v>en-US</v>
    <v>Generic</v>
  </rv>
  <rv s="3">
    <v>94</v>
  </rv>
  <rv s="4">
    <v>https://www.bing.com/search?q=santa+rosa+california&amp;form=skydnc</v>
    <v>Learn more on Bing</v>
  </rv>
  <rv s="1">
    <fb>-122.70472222222</fb>
    <v>9</v>
  </rv>
  <rv s="1">
    <fb>178127</fb>
    <v>8</v>
  </rv>
  <rv s="8">
    <v>#VALUE!</v>
    <v>en-US</v>
    <v>d7cb1c21-6aef-4738-bf9f-e926f895fd7b</v>
    <v>536870912</v>
    <v>1</v>
    <v>252</v>
    <v>26</v>
    <v>Santa Rosa, California</v>
    <v>4</v>
    <v>5</v>
    <v>Map</v>
    <v>6</v>
    <v>7</v>
    <v>1</v>
    <v>147</v>
    <v>1165</v>
    <v>4</v>
    <v>Santa Rosa is a city in and the county seat of Sonoma County, in the North Bay region of the Bay Area in California. Its population as of the 2020 census was 178,127. It is the largest city in California's Wine Country and Redwood Coast. It is ...</v>
    <v>1166</v>
    <v>1167</v>
    <v>1169</v>
    <v>1170</v>
    <v>1171</v>
    <v>Santa Rosa, California</v>
    <v>1172</v>
    <v>44</v>
    <v>Santa Rosa, California</v>
    <v>mdp/vdpid/5057654963602194433</v>
  </rv>
  <rv s="0">
    <v>536870912</v>
    <v>Simi Valley, California</v>
    <v>3b69d2db-aa81-436e-b273-67b20c42bdc3</v>
    <v>en-US</v>
    <v>Map</v>
  </rv>
  <rv s="1">
    <fb>109.40592599999999</fb>
    <v>8</v>
  </rv>
  <rv s="2">
    <v>119</v>
    <v>6</v>
    <v>253</v>
    <v>7</v>
    <v>0</v>
    <v>Image of Simi Valley, California</v>
  </rv>
  <rv s="1">
    <fb>34.270833000000003</fb>
    <v>9</v>
  </rv>
  <rv s="0">
    <v>805306368</v>
    <v>Fred D. Thomas (Mayor)</v>
    <v>abb94502-b2e6-1747-6af8-6d2413879c88</v>
    <v>en-US</v>
    <v>Generic</v>
  </rv>
  <rv s="3">
    <v>95</v>
  </rv>
  <rv s="4">
    <v>https://www.bing.com/search?q=simi+valley+california&amp;form=skydnc</v>
    <v>Learn more on Bing</v>
  </rv>
  <rv s="1">
    <fb>-118.73916699999999</fb>
    <v>9</v>
  </rv>
  <rv s="1">
    <fb>126356</fb>
    <v>8</v>
  </rv>
  <rv s="5">
    <v>#VALUE!</v>
    <v>en-US</v>
    <v>3b69d2db-aa81-436e-b273-67b20c42bdc3</v>
    <v>536870912</v>
    <v>1</v>
    <v>254</v>
    <v>2</v>
    <v>Simi Valley, California</v>
    <v>4</v>
    <v>5</v>
    <v>Map</v>
    <v>6</v>
    <v>7</v>
    <v>1</v>
    <v>842</v>
    <v>1175</v>
    <v>4</v>
    <v>Simi Valley is a city in the valley of the same name in the southeast region of Ventura County, California, United States. Simi Valley is 40 miles from Downtown Los Angeles, making it part of the Greater Los Angeles Area. The city sits next to ...</v>
    <v>1176</v>
    <v>1177</v>
    <v>1179</v>
    <v>1180</v>
    <v>1181</v>
    <v>Simi Valley, California</v>
    <v>1182</v>
    <v>Simi Valley, California</v>
    <v>mdp/vdpid/5059761051046772737</v>
  </rv>
  <rv s="0">
    <v>536870912</v>
    <v>Soledad, California</v>
    <v>6df1699a-d606-e6ab-cf11-846c87130f49</v>
    <v>en-US</v>
    <v>Map</v>
  </rv>
  <rv s="1">
    <fb>11.824541</fb>
    <v>8</v>
  </rv>
  <rv s="2">
    <v>120</v>
    <v>6</v>
    <v>255</v>
    <v>7</v>
    <v>0</v>
    <v>Image of Soledad, California</v>
  </rv>
  <rv s="1">
    <fb>36.424722222222002</fb>
    <v>9</v>
  </rv>
  <rv s="0">
    <v>805306368</v>
    <v>Anna Velasquez (Mayor)</v>
    <v>0bcf1fb6-def2-c520-eb41-a7cdde556377</v>
    <v>en-US</v>
    <v>Generic</v>
  </rv>
  <rv s="3">
    <v>96</v>
  </rv>
  <rv s="4">
    <v>https://www.bing.com/search?q=soledad+california&amp;form=skydnc</v>
    <v>Learn more on Bing</v>
  </rv>
  <rv s="1">
    <fb>-121.32638888888999</fb>
    <v>9</v>
  </rv>
  <rv s="1">
    <fb>24925</fb>
    <v>8</v>
  </rv>
  <rv s="5">
    <v>#VALUE!</v>
    <v>en-US</v>
    <v>6df1699a-d606-e6ab-cf11-846c87130f49</v>
    <v>536870912</v>
    <v>1</v>
    <v>256</v>
    <v>2</v>
    <v>Soledad, California</v>
    <v>4</v>
    <v>5</v>
    <v>Map</v>
    <v>6</v>
    <v>7</v>
    <v>1</v>
    <v>584</v>
    <v>1185</v>
    <v>4</v>
    <v>Soledad is a city in Monterey County, California, United States. It is in the Salinas Valley, 21 miles southeast of Salinas, the county seat. Soledad's population was 24,925 at the 2020 census, down from 25,738 in 2010. Soledad's origins started ...</v>
    <v>1186</v>
    <v>1187</v>
    <v>1189</v>
    <v>1190</v>
    <v>1191</v>
    <v>Soledad, California</v>
    <v>1192</v>
    <v>Soledad, California</v>
    <v>mdp/vdpid/5058848390058606593</v>
  </rv>
  <rv s="0">
    <v>536870912</v>
    <v>Sonora, California</v>
    <v>330afe4a-1925-f4f4-4114-5999d4750ca5</v>
    <v>en-US</v>
    <v>Map</v>
  </rv>
  <rv s="0">
    <v>536870912</v>
    <v>Tuolumne County</v>
    <v>7e54329f-4efe-4b19-fc47-87d82f895e72</v>
    <v>en-US</v>
    <v>Map</v>
  </rv>
  <rv s="1">
    <fb>8.2269590000000008</fb>
    <v>8</v>
  </rv>
  <rv s="2">
    <v>121</v>
    <v>6</v>
    <v>257</v>
    <v>7</v>
    <v>0</v>
    <v>Image of Sonora, California</v>
  </rv>
  <rv s="1">
    <fb>37.984444444444001</fb>
    <v>9</v>
  </rv>
  <rv s="0">
    <v>805306368</v>
    <v>Mark Plummer (Mayor)</v>
    <v>af56de2a-1559-85bf-17fb-9f3af29c1dd5</v>
    <v>en-US</v>
    <v>Generic</v>
  </rv>
  <rv s="3">
    <v>97</v>
  </rv>
  <rv s="4">
    <v>https://www.bing.com/search?q=sonora+california&amp;form=skydnc</v>
    <v>Learn more on Bing</v>
  </rv>
  <rv s="1">
    <fb>-120.38166666667</fb>
    <v>9</v>
  </rv>
  <rv s="1">
    <fb>5003</fb>
    <v>8</v>
  </rv>
  <rv s="5">
    <v>#VALUE!</v>
    <v>en-US</v>
    <v>330afe4a-1925-f4f4-4114-5999d4750ca5</v>
    <v>536870912</v>
    <v>1</v>
    <v>258</v>
    <v>2</v>
    <v>Sonora, California</v>
    <v>4</v>
    <v>5</v>
    <v>Map</v>
    <v>6</v>
    <v>7</v>
    <v>1</v>
    <v>1195</v>
    <v>1196</v>
    <v>4</v>
    <v>Sonora is the county seat of Tuolumne County, California, United States. Founded during the California Gold Rush by Mexican miners from Sonora, the city population was 5,121 during the 2020 Census, an increase of 91 from the 4,903 counted during ...</v>
    <v>1197</v>
    <v>1198</v>
    <v>1200</v>
    <v>1201</v>
    <v>1202</v>
    <v>Sonora, California</v>
    <v>1203</v>
    <v>Sonora, California</v>
    <v>mdp/vdpid/5058210189795131393</v>
  </rv>
  <rv s="0">
    <v>536870912</v>
    <v>South Lake Tahoe, California</v>
    <v>988c7e9c-2ba1-a879-3499-65b76e0a29a8</v>
    <v>en-US</v>
    <v>Map</v>
  </rv>
  <rv s="1">
    <fb>42.994081999999999</fb>
    <v>8</v>
  </rv>
  <rv s="2">
    <v>122</v>
    <v>6</v>
    <v>259</v>
    <v>7</v>
    <v>0</v>
    <v>Image of South Lake Tahoe, California</v>
  </rv>
  <rv s="1">
    <fb>38.94</fb>
    <v>9</v>
  </rv>
  <rv s="0">
    <v>805306368</v>
    <v>Tamara Wallace (Mayor)</v>
    <v>887ba2f6-6c6f-74a3-d95c-90b4fd563392</v>
    <v>en-US</v>
    <v>Generic</v>
  </rv>
  <rv s="3">
    <v>98</v>
  </rv>
  <rv s="4">
    <v>https://www.bing.com/search?q=city+of+south+lake+tahoe&amp;form=skydnc</v>
    <v>Learn more on Bing</v>
  </rv>
  <rv s="1">
    <fb>-119.97694444443999</fb>
    <v>9</v>
  </rv>
  <rv s="1">
    <fb>21330</fb>
    <v>8</v>
  </rv>
  <rv s="5">
    <v>#VALUE!</v>
    <v>en-US</v>
    <v>988c7e9c-2ba1-a879-3499-65b76e0a29a8</v>
    <v>536870912</v>
    <v>1</v>
    <v>260</v>
    <v>2</v>
    <v>South Lake Tahoe, California</v>
    <v>4</v>
    <v>5</v>
    <v>Map</v>
    <v>6</v>
    <v>7</v>
    <v>1</v>
    <v>921</v>
    <v>1206</v>
    <v>4</v>
    <v>South Lake Tahoe is the most populous city in El Dorado County, California, United States, in the Sierra Nevada mountains. The city's population was 21,330 at the 2020 census, down from 21,403 at the 2010 census. The city, along the southern ...</v>
    <v>1207</v>
    <v>1208</v>
    <v>1210</v>
    <v>1211</v>
    <v>1212</v>
    <v>South Lake Tahoe, California</v>
    <v>1213</v>
    <v>South Lake Tahoe, California</v>
    <v>mdp/vdpid/5058161184587382785</v>
  </rv>
  <rv s="0">
    <v>536870912</v>
    <v>Stockton, California</v>
    <v>a56b63cd-1b3e-4115-b953-165728b1139e</v>
    <v>en-US</v>
    <v>Map</v>
  </rv>
  <rv s="1">
    <fb>167.70179899999999</fb>
    <v>8</v>
  </rv>
  <rv s="2">
    <v>123</v>
    <v>6</v>
    <v>261</v>
    <v>7</v>
    <v>0</v>
    <v>Image of Stockton, California</v>
  </rv>
  <rv s="1">
    <fb>37.975555555555999</fb>
    <v>9</v>
  </rv>
  <rv s="0">
    <v>805306368</v>
    <v>Kevin Lincoln (Mayor)</v>
    <v>6879e4cc-b0f5-c0d3-b4ed-0f555ae43f2c</v>
    <v>en-US</v>
    <v>Generic</v>
  </rv>
  <rv s="3">
    <v>99</v>
  </rv>
  <rv s="4">
    <v>https://www.bing.com/search?q=stockton+california&amp;form=skydnc</v>
    <v>Learn more on Bing</v>
  </rv>
  <rv s="1">
    <fb>-121.30083333333</fb>
    <v>9</v>
  </rv>
  <rv s="1">
    <fb>320804</fb>
    <v>8</v>
  </rv>
  <rv s="8">
    <v>#VALUE!</v>
    <v>en-US</v>
    <v>a56b63cd-1b3e-4115-b953-165728b1139e</v>
    <v>536870912</v>
    <v>1</v>
    <v>262</v>
    <v>26</v>
    <v>Stockton, California</v>
    <v>4</v>
    <v>5</v>
    <v>Map</v>
    <v>6</v>
    <v>7</v>
    <v>1</v>
    <v>635</v>
    <v>1216</v>
    <v>4</v>
    <v>Stockton is a city in and the county seat of San Joaquin County in the Central Valley of the U.S. state of California. Stockton is the most populous city in the county, the 11th-most populous city in California and the 58th-most populous city in ...</v>
    <v>1217</v>
    <v>1218</v>
    <v>1220</v>
    <v>1221</v>
    <v>1222</v>
    <v>Stockton, California</v>
    <v>1223</v>
    <v>44</v>
    <v>Stockton, California</v>
    <v>mdp/vdpid/5058002719638290433</v>
  </rv>
  <rv s="0">
    <v>536870912</v>
    <v>Sunnyvale, California</v>
    <v>e0e1301d-1f60-4b4c-bec7-c4fee3fce459</v>
    <v>en-US</v>
    <v>Map</v>
  </rv>
  <rv s="1">
    <fb>58.754266999999999</fb>
    <v>8</v>
  </rv>
  <rv s="2">
    <v>124</v>
    <v>6</v>
    <v>263</v>
    <v>7</v>
    <v>0</v>
    <v>Image of Sunnyvale, California</v>
  </rv>
  <rv s="1">
    <fb>37.368888888889003</fb>
    <v>9</v>
  </rv>
  <rv s="0">
    <v>805306368</v>
    <v>Larry Klein (Mayor)</v>
    <v>ff7a39b8-7096-e66a-c65c-0fcb010c9f3d</v>
    <v>en-US</v>
    <v>Generic</v>
  </rv>
  <rv s="3">
    <v>100</v>
  </rv>
  <rv s="4">
    <v>https://www.bing.com/search?q=sunnyvale+california&amp;form=skydnc</v>
    <v>Learn more on Bing</v>
  </rv>
  <rv s="1">
    <fb>-122.03694444444</fb>
    <v>9</v>
  </rv>
  <rv s="1">
    <fb>155805</fb>
    <v>8</v>
  </rv>
  <rv s="8">
    <v>#VALUE!</v>
    <v>en-US</v>
    <v>e0e1301d-1f60-4b4c-bec7-c4fee3fce459</v>
    <v>536870912</v>
    <v>1</v>
    <v>264</v>
    <v>26</v>
    <v>Sunnyvale, California</v>
    <v>4</v>
    <v>5</v>
    <v>Map</v>
    <v>6</v>
    <v>7</v>
    <v>1</v>
    <v>458</v>
    <v>1226</v>
    <v>4</v>
    <v>Sunnyvale is a city located in the Santa Clara Valley in northwest Santa Clara County in the U.S. state of California. Sunnyvale lies along the historic El Camino Real and Highway 101 and is bordered by portions of San Jose to the north, Moffett ...</v>
    <v>1227</v>
    <v>1228</v>
    <v>1230</v>
    <v>1231</v>
    <v>1232</v>
    <v>Sunnyvale, California</v>
    <v>1233</v>
    <v>44</v>
    <v>Sunnyvale, California</v>
    <v>mdp/vdpid/5057989736237367301</v>
  </rv>
  <rv s="0">
    <v>536870912</v>
    <v>Susanville, California</v>
    <v>d04b2510-e2f4-e841-f903-157d6b3cf0dd</v>
    <v>en-US</v>
    <v>Map</v>
  </rv>
  <rv s="0">
    <v>536870912</v>
    <v>Lassen County</v>
    <v>d4683a99-39cd-77ef-12a0-3c6113151edb</v>
    <v>en-US</v>
    <v>Map</v>
  </rv>
  <rv s="1">
    <fb>20.798233</fb>
    <v>8</v>
  </rv>
  <rv s="2">
    <v>125</v>
    <v>6</v>
    <v>265</v>
    <v>7</v>
    <v>0</v>
    <v>Image of Susanville, California</v>
  </rv>
  <rv s="1">
    <fb>40.417222222222001</fb>
    <v>9</v>
  </rv>
  <rv s="0">
    <v>805306368</v>
    <v>Quincy McCourt (Mayor)</v>
    <v>074e3adb-be8b-d448-9619-3b8c788aac75</v>
    <v>en-US</v>
    <v>Generic</v>
  </rv>
  <rv s="3">
    <v>101</v>
  </rv>
  <rv s="4">
    <v>https://www.bing.com/search?q=susanville+california&amp;form=skydnc</v>
    <v>Learn more on Bing</v>
  </rv>
  <rv s="1">
    <fb>-120.64611111111</fb>
    <v>9</v>
  </rv>
  <rv s="1">
    <fb>16728</fb>
    <v>8</v>
  </rv>
  <rv s="5">
    <v>#VALUE!</v>
    <v>en-US</v>
    <v>d04b2510-e2f4-e841-f903-157d6b3cf0dd</v>
    <v>536870912</v>
    <v>1</v>
    <v>266</v>
    <v>2</v>
    <v>Susanville, California</v>
    <v>4</v>
    <v>5</v>
    <v>Map</v>
    <v>6</v>
    <v>7</v>
    <v>1</v>
    <v>1236</v>
    <v>1237</v>
    <v>4</v>
    <v>Susanville is a town in and is the county seat of Lassen County, California, United States. Susanville is located on the Susan River in the southern part of the county, at an elevation of 4,186 feet. Its population is 16,728 as of the 2020 ...</v>
    <v>1238</v>
    <v>1239</v>
    <v>1241</v>
    <v>1242</v>
    <v>1243</v>
    <v>Susanville, California</v>
    <v>1244</v>
    <v>Susanville, California</v>
    <v>mdp/vdpid/5055029503680577537</v>
  </rv>
  <rv s="0">
    <v>536870912</v>
    <v>Tehachapi, California</v>
    <v>aff47606-97f3-1f1f-1075-b23aee56c541</v>
    <v>en-US</v>
    <v>Map</v>
  </rv>
  <rv s="0">
    <v>536870912</v>
    <v>Tehachapi Mountains</v>
    <v>398bc352-4683-522f-c052-518e1cab9ea8</v>
    <v>en-US</v>
    <v>Map</v>
  </rv>
  <rv s="1">
    <fb>25.825766000000002</fb>
    <v>8</v>
  </rv>
  <rv s="1">
    <fb>35.132222222221998</fb>
    <v>9</v>
  </rv>
  <rv s="0">
    <v>805306368</v>
    <v>Phil Smith (Mayor)</v>
    <v>44c3f6e0-4652-f284-c628-4372112e85f0</v>
    <v>en-US</v>
    <v>Generic</v>
  </rv>
  <rv s="3">
    <v>102</v>
  </rv>
  <rv s="4">
    <v>https://www.bing.com/search?q=tehachapi+california&amp;form=skydnc</v>
    <v>Learn more on Bing</v>
  </rv>
  <rv s="1">
    <fb>-118.44888888889</fb>
    <v>9</v>
  </rv>
  <rv s="1">
    <fb>12939</fb>
    <v>8</v>
  </rv>
  <rv s="12">
    <v>#VALUE!</v>
    <v>en-US</v>
    <v>aff47606-97f3-1f1f-1075-b23aee56c541</v>
    <v>536870912</v>
    <v>1</v>
    <v>268</v>
    <v>269</v>
    <v>Tehachapi, California</v>
    <v>4</v>
    <v>270</v>
    <v>Map</v>
    <v>6</v>
    <v>7</v>
    <v>84</v>
    <v>1247</v>
    <v>1248</v>
    <v>4</v>
    <v>Tehachapi is a city in Kern County, California, United States, in the Tehachapi Mountains, at an elevation of 3,970 feet, between the San Joaquin Valley and the Mojave Desert. Tehachapi is 35 miles east-southeast of Bakersfield, and 20 miles ...</v>
    <v>1249</v>
    <v>1251</v>
    <v>1252</v>
    <v>1253</v>
    <v>Tehachapi, California</v>
    <v>1254</v>
    <v>Tehachapi, California</v>
    <v>mdp/vdpid/5059691054740013057</v>
  </rv>
  <rv s="0">
    <v>536870912</v>
    <v>Temecula, California</v>
    <v>5ce0943f-1643-4b26-944f-85f24978f9f2</v>
    <v>en-US</v>
    <v>Map</v>
  </rv>
  <rv s="1">
    <fb>96.548755999999997</fb>
    <v>8</v>
  </rv>
  <rv s="2">
    <v>126</v>
    <v>6</v>
    <v>271</v>
    <v>7</v>
    <v>0</v>
    <v>Image of Temecula, California</v>
  </rv>
  <rv s="1">
    <fb>33.503333333333003</fb>
    <v>9</v>
  </rv>
  <rv s="0">
    <v>805306368</v>
    <v>Zak Schwank (Mayor)</v>
    <v>82c7b932-7e08-8094-3fe9-0c687768cb80</v>
    <v>en-US</v>
    <v>Generic</v>
  </rv>
  <rv s="3">
    <v>103</v>
  </rv>
  <rv s="4">
    <v>https://www.bing.com/search?q=temecula+california&amp;form=skydnc</v>
    <v>Learn more on Bing</v>
  </rv>
  <rv s="1">
    <fb>-117.12361111110999</fb>
    <v>9</v>
  </rv>
  <rv s="1">
    <fb>110003</fb>
    <v>8</v>
  </rv>
  <rv s="8">
    <v>#VALUE!</v>
    <v>en-US</v>
    <v>5ce0943f-1643-4b26-944f-85f24978f9f2</v>
    <v>536870912</v>
    <v>1</v>
    <v>272</v>
    <v>26</v>
    <v>Temecula, California</v>
    <v>4</v>
    <v>5</v>
    <v>Map</v>
    <v>6</v>
    <v>7</v>
    <v>1</v>
    <v>106</v>
    <v>1257</v>
    <v>4</v>
    <v>Temecula is a city in southwestern Riverside County, California, United States. The city had a population of 110,003 as of the 2020 census and was incorporated on December 1, 1989. The city is a tourist and resort destination, with the Temecula ...</v>
    <v>1258</v>
    <v>1259</v>
    <v>1261</v>
    <v>1262</v>
    <v>1263</v>
    <v>Temecula, California</v>
    <v>1264</v>
    <v>44</v>
    <v>Temecula, California</v>
    <v>mdp/vdpid/5073347301011881985</v>
  </rv>
  <rv s="0">
    <v>536870912</v>
    <v>Thousand Oaks, California</v>
    <v>ae8a5d98-ff1c-4630-baf5-0f8766ce7c72</v>
    <v>en-US</v>
    <v>Map</v>
  </rv>
  <rv s="1">
    <fb>143.30769699999999</fb>
    <v>8</v>
  </rv>
  <rv s="2">
    <v>127</v>
    <v>6</v>
    <v>273</v>
    <v>7</v>
    <v>0</v>
    <v>Image of Thousand Oaks, California</v>
  </rv>
  <rv s="1">
    <fb>34.189444444444</fb>
    <v>9</v>
  </rv>
  <rv s="0">
    <v>805306368</v>
    <v>Kevin McNamee (Mayor)</v>
    <v>37c092c8-fed5-c55d-ef11-ae3655ed4584</v>
    <v>en-US</v>
    <v>Generic</v>
  </rv>
  <rv s="3">
    <v>104</v>
  </rv>
  <rv s="4">
    <v>https://www.bing.com/search?q=thousand+oaks+california&amp;form=skydnc</v>
    <v>Learn more on Bing</v>
  </rv>
  <rv s="1">
    <fb>-118.875</fb>
    <v>9</v>
  </rv>
  <rv s="1">
    <fb>126966</fb>
    <v>8</v>
  </rv>
  <rv s="8">
    <v>#VALUE!</v>
    <v>en-US</v>
    <v>ae8a5d98-ff1c-4630-baf5-0f8766ce7c72</v>
    <v>536870912</v>
    <v>1</v>
    <v>274</v>
    <v>26</v>
    <v>Thousand Oaks, California</v>
    <v>4</v>
    <v>5</v>
    <v>Map</v>
    <v>6</v>
    <v>7</v>
    <v>1</v>
    <v>842</v>
    <v>1267</v>
    <v>4</v>
    <v>Thousand Oaks is a city in the northwestern part of Greater Los Angeles, approximately 15 miles from the city of Los Angeles and 40 miles from Downtown Los Angeles. The second-largest city in Ventura County, California, it is named after the ...</v>
    <v>1268</v>
    <v>1269</v>
    <v>1271</v>
    <v>1272</v>
    <v>1273</v>
    <v>Thousand Oaks, California</v>
    <v>1274</v>
    <v>44</v>
    <v>Thousand Oaks, California</v>
    <v>mdp/vdpid/5059740916290420737</v>
  </rv>
  <rv s="0">
    <v>536870912</v>
    <v>Torrance, California</v>
    <v>2afd6302-1ebb-4d5b-9619-ca51fa189a6f</v>
    <v>en-US</v>
    <v>Map</v>
  </rv>
  <rv s="1">
    <fb>53.232624000000001</fb>
    <v>8</v>
  </rv>
  <rv s="2">
    <v>128</v>
    <v>6</v>
    <v>275</v>
    <v>7</v>
    <v>0</v>
    <v>Image of Torrance, California</v>
  </rv>
  <rv s="1">
    <fb>33.835849199999998</fb>
    <v>9</v>
  </rv>
  <rv s="0">
    <v>805306368</v>
    <v>George Chen (Mayor)</v>
    <v>6266d7d1-6d7e-12d7-12c1-2f714e82f58a</v>
    <v>en-US</v>
    <v>Generic</v>
  </rv>
  <rv s="3">
    <v>105</v>
  </rv>
  <rv s="4">
    <v>https://www.bing.com/search?q=torrance+california&amp;form=skydnc</v>
    <v>Learn more on Bing</v>
  </rv>
  <rv s="1">
    <fb>-118.3406288</fb>
    <v>9</v>
  </rv>
  <rv s="1">
    <fb>147067</fb>
    <v>8</v>
  </rv>
  <rv s="5">
    <v>#VALUE!</v>
    <v>en-US</v>
    <v>2afd6302-1ebb-4d5b-9619-ca51fa189a6f</v>
    <v>536870912</v>
    <v>1</v>
    <v>276</v>
    <v>2</v>
    <v>Torrance, California</v>
    <v>4</v>
    <v>5</v>
    <v>Map</v>
    <v>6</v>
    <v>7</v>
    <v>1</v>
    <v>73</v>
    <v>1277</v>
    <v>4</v>
    <v>Torrance is a city in the Los Angeles metropolitan area, located in southwest Los Angeles County, California, United States. The city is part of what is known as the South Bay region of the metropolitan area. A small section of the city, 1.5 ...</v>
    <v>1278</v>
    <v>1279</v>
    <v>1281</v>
    <v>1282</v>
    <v>1283</v>
    <v>Torrance, California</v>
    <v>1284</v>
    <v>Torrance, California</v>
    <v>mdp/vdpid/5059791592206893057</v>
  </rv>
  <rv s="0">
    <v>536870912</v>
    <v>Tracy, California</v>
    <v>9f2bebe9-f5f3-4b24-b90a-9cfe9e74cf20</v>
    <v>en-US</v>
    <v>Map</v>
  </rv>
  <rv s="1">
    <fb>57.701099999999997</fb>
    <v>8</v>
  </rv>
  <rv s="2">
    <v>129</v>
    <v>6</v>
    <v>277</v>
    <v>7</v>
    <v>0</v>
    <v>Image of Tracy, California</v>
  </rv>
  <rv s="1">
    <fb>37.738055555556002</fb>
    <v>9</v>
  </rv>
  <rv s="0">
    <v>805306368</v>
    <v>Nancy D. Young (Mayor)</v>
    <v>6bed4f2f-9b37-fc5d-3cc0-3be98dc6088c</v>
    <v>en-US</v>
    <v>Generic</v>
  </rv>
  <rv s="3">
    <v>106</v>
  </rv>
  <rv s="4">
    <v>https://www.bing.com/search?q=tracy+california&amp;form=skydnc</v>
    <v>Learn more on Bing</v>
  </rv>
  <rv s="1">
    <fb>-121.43388888889</fb>
    <v>9</v>
  </rv>
  <rv s="1">
    <fb>93000</fb>
    <v>8</v>
  </rv>
  <rv s="8">
    <v>#VALUE!</v>
    <v>en-US</v>
    <v>9f2bebe9-f5f3-4b24-b90a-9cfe9e74cf20</v>
    <v>536870912</v>
    <v>1</v>
    <v>278</v>
    <v>26</v>
    <v>Tracy, California</v>
    <v>4</v>
    <v>5</v>
    <v>Map</v>
    <v>6</v>
    <v>7</v>
    <v>1</v>
    <v>635</v>
    <v>1287</v>
    <v>4</v>
    <v>Tracy is the second most populated city in San Joaquin County, California, United States. The population was 93,000 at the 2020 census. Tracy is located inside a geographic triangle formed by Interstate 205 on the north side of the city, ...</v>
    <v>1288</v>
    <v>1289</v>
    <v>1291</v>
    <v>1292</v>
    <v>1293</v>
    <v>Tracy, California</v>
    <v>1294</v>
    <v>44</v>
    <v>Tracy, California</v>
    <v>mdp/vdpid/5058006709545467905</v>
  </rv>
  <rv s="0">
    <v>536870912</v>
    <v>Truckee, California</v>
    <v>29bab66c-f367-39f6-2c9c-1d5839ccc9f4</v>
    <v>en-US</v>
    <v>Map</v>
  </rv>
  <rv s="0">
    <v>536870912</v>
    <v>Nevada County</v>
    <v>85d3c910-1226-ba37-decd-b389a73bda33</v>
    <v>en-US</v>
    <v>Map</v>
  </rv>
  <rv s="1">
    <fb>87.162115</fb>
    <v>8</v>
  </rv>
  <rv s="2">
    <v>130</v>
    <v>6</v>
    <v>279</v>
    <v>7</v>
    <v>0</v>
    <v>Image of Truckee, California</v>
  </rv>
  <rv s="1">
    <fb>39.342222222221999</fb>
    <v>9</v>
  </rv>
  <rv s="0">
    <v>805306368</v>
    <v>Courtney Henderson (Mayor)</v>
    <v>ee6f853e-b1be-7d6c-3d03-a6e90fd0dba9</v>
    <v>en-US</v>
    <v>Generic</v>
  </rv>
  <rv s="3">
    <v>107</v>
  </rv>
  <rv s="4">
    <v>https://www.bing.com/search?q=truckee+california&amp;form=skydnc</v>
    <v>Learn more on Bing</v>
  </rv>
  <rv s="1">
    <fb>-120.20361111111001</fb>
    <v>9</v>
  </rv>
  <rv s="1">
    <fb>16729</fb>
    <v>8</v>
  </rv>
  <rv s="5">
    <v>#VALUE!</v>
    <v>en-US</v>
    <v>29bab66c-f367-39f6-2c9c-1d5839ccc9f4</v>
    <v>536870912</v>
    <v>1</v>
    <v>280</v>
    <v>2</v>
    <v>Truckee, California</v>
    <v>4</v>
    <v>5</v>
    <v>Map</v>
    <v>6</v>
    <v>7</v>
    <v>1</v>
    <v>1297</v>
    <v>1298</v>
    <v>4</v>
    <v>Truckee is an incorporated town in Nevada County, California, United States. As of the 2010 United States Census, the population was 16,180, reflecting an increase of 2,316 from the 13,864 counted in the 2000 Census and having the 316th highest ...</v>
    <v>1299</v>
    <v>1300</v>
    <v>1302</v>
    <v>1303</v>
    <v>1304</v>
    <v>Truckee, California</v>
    <v>1305</v>
    <v>Truckee, California</v>
    <v>mdp/vdpid/5058117176926404609</v>
  </rv>
  <rv s="0">
    <v>536870912</v>
    <v>Tulare, California</v>
    <v>647e0cf7-eec7-085e-5468-119954dd9ecc</v>
    <v>en-US</v>
    <v>Map</v>
  </rv>
  <rv s="1">
    <fb>52.968487000000003</fb>
    <v>8</v>
  </rv>
  <rv s="2">
    <v>131</v>
    <v>6</v>
    <v>281</v>
    <v>7</v>
    <v>0</v>
    <v>Image of Tulare, California</v>
  </rv>
  <rv s="1">
    <fb>36.206666666666997</fb>
    <v>9</v>
  </rv>
  <rv s="0">
    <v>805306368</v>
    <v>Terry A. Sayre (Mayor)</v>
    <v>e09f88e2-6e1b-e271-23ce-b4b3f29effe7</v>
    <v>en-US</v>
    <v>Generic</v>
  </rv>
  <rv s="3">
    <v>108</v>
  </rv>
  <rv s="4">
    <v>https://www.bing.com/search?q=tulare+california&amp;form=skydnc</v>
    <v>Learn more on Bing</v>
  </rv>
  <rv s="1">
    <fb>-119.3425</fb>
    <v>9</v>
  </rv>
  <rv s="1">
    <fb>68875</fb>
    <v>8</v>
  </rv>
  <rv s="8">
    <v>#VALUE!</v>
    <v>en-US</v>
    <v>647e0cf7-eec7-085e-5468-119954dd9ecc</v>
    <v>536870912</v>
    <v>1</v>
    <v>282</v>
    <v>26</v>
    <v>Tulare, California</v>
    <v>4</v>
    <v>5</v>
    <v>Map</v>
    <v>6</v>
    <v>7</v>
    <v>1</v>
    <v>942</v>
    <v>1308</v>
    <v>4</v>
    <v>Tulare is a city in Tulare County, California. The population was 68,875 per the 2020 census. It is located in the heart of the San Joaquin Valley, 8 mi south of Visalia and 60 mi north of Bakersfield. The city is named after the Tulare Lake, ...</v>
    <v>1309</v>
    <v>1310</v>
    <v>1312</v>
    <v>1313</v>
    <v>1314</v>
    <v>Tulare, California</v>
    <v>1315</v>
    <v>44</v>
    <v>Tulare, California</v>
    <v>mdp/vdpid/5059391786770759681</v>
  </rv>
  <rv s="0">
    <v>536870912</v>
    <v>Turlock, California</v>
    <v>937f82a6-7359-41cc-a0e9-f60f1f4bca4a</v>
    <v>en-US</v>
    <v>Map</v>
  </rv>
  <rv s="1">
    <fb>43.844298999999999</fb>
    <v>8</v>
  </rv>
  <rv s="2">
    <v>132</v>
    <v>6</v>
    <v>283</v>
    <v>7</v>
    <v>0</v>
    <v>Image of Turlock, California</v>
  </rv>
  <rv s="1">
    <fb>37.505833333333001</fb>
    <v>9</v>
  </rv>
  <rv s="0">
    <v>805306368</v>
    <v>Amy Bublak (Mayor)</v>
    <v>1ea8e86e-8a6e-3f3e-207a-7b72ec43682b</v>
    <v>en-US</v>
    <v>Generic</v>
  </rv>
  <rv s="3">
    <v>109</v>
  </rv>
  <rv s="4">
    <v>https://www.bing.com/search?q=turlock+california&amp;form=skydnc</v>
    <v>Learn more on Bing</v>
  </rv>
  <rv s="1">
    <fb>-120.84888888889</fb>
    <v>9</v>
  </rv>
  <rv s="1">
    <fb>72740</fb>
    <v>8</v>
  </rv>
  <rv s="8">
    <v>#VALUE!</v>
    <v>en-US</v>
    <v>937f82a6-7359-41cc-a0e9-f60f1f4bca4a</v>
    <v>536870912</v>
    <v>1</v>
    <v>284</v>
    <v>26</v>
    <v>Turlock, California</v>
    <v>4</v>
    <v>5</v>
    <v>Map</v>
    <v>6</v>
    <v>7</v>
    <v>1</v>
    <v>725</v>
    <v>1318</v>
    <v>4</v>
    <v>Turlock is a city in Stanislaus County, California, United States. Its estimated 2019 population of 73,631 made it the second-largest city in Stanislaus County after Modesto.</v>
    <v>1319</v>
    <v>1320</v>
    <v>1322</v>
    <v>1323</v>
    <v>1324</v>
    <v>Turlock, California</v>
    <v>1325</v>
    <v>44</v>
    <v>Turlock, California</v>
    <v>mdp/vdpid/5058406143181717505</v>
  </rv>
  <rv s="0">
    <v>536870912</v>
    <v>Tuttletown, California</v>
    <v>0d919b09-bf6d-c401-6fa0-b61e9643d047</v>
    <v>en-US</v>
    <v>Map</v>
  </rv>
  <rv s="1">
    <fb>19.054454</fb>
    <v>8</v>
  </rv>
  <rv s="2">
    <v>133</v>
    <v>6</v>
    <v>285</v>
    <v>7</v>
    <v>0</v>
    <v>Image of Tuttletown, California</v>
  </rv>
  <rv s="1">
    <fb>38.006944444444002</fb>
    <v>9</v>
  </rv>
  <rv s="4">
    <v>https://www.bing.com/search?q=tuttletown+tuolumne+county+california&amp;form=skydnc</v>
    <v>Learn more on Bing</v>
  </rv>
  <rv s="1">
    <fb>-120.45111111111</fb>
    <v>9</v>
  </rv>
  <rv s="1">
    <fb>787</fb>
    <v>8</v>
  </rv>
  <rv s="6">
    <v>#VALUE!</v>
    <v>en-US</v>
    <v>0d919b09-bf6d-c401-6fa0-b61e9643d047</v>
    <v>536870912</v>
    <v>1</v>
    <v>286</v>
    <v>16</v>
    <v>Tuttletown, California</v>
    <v>4</v>
    <v>5</v>
    <v>Map</v>
    <v>6</v>
    <v>7</v>
    <v>1</v>
    <v>1195</v>
    <v>1328</v>
    <v>4</v>
    <v>Tuttletown is a census-designated place in Tuolumne County, California. It is located on State Route 49 near the gold rush community of Columbia. Tuttletown sits at an elevation of 1,047 feet. The 2010 United States census reported Tuttletown's ...</v>
    <v>1329</v>
    <v>1330</v>
    <v>1331</v>
    <v>1332</v>
    <v>Tuttletown, California</v>
    <v>1333</v>
    <v>44</v>
    <v>Tuttletown, California</v>
    <v>mdp/vdpid/5058208478636539905</v>
  </rv>
  <rv s="0">
    <v>536870912</v>
    <v>Two Harbors, California</v>
    <v>9d2412d4-46dc-8198-be73-9cd6c5fa1cf3</v>
    <v>en-US</v>
    <v>Map</v>
  </rv>
  <rv s="2">
    <v>134</v>
    <v>6</v>
    <v>287</v>
    <v>7</v>
    <v>0</v>
    <v>Image of Two Harbors, California</v>
  </rv>
  <rv s="1">
    <fb>33.44</fb>
    <v>9</v>
  </rv>
  <rv s="4">
    <v>https://www.bing.com/search?q=two+harbors+california&amp;form=skydnc</v>
    <v>Learn more on Bing</v>
  </rv>
  <rv s="1">
    <fb>-118.49833055556</fb>
    <v>9</v>
  </rv>
  <rv s="1">
    <fb>298</fb>
    <v>8</v>
  </rv>
  <rv s="13">
    <v>#VALUE!</v>
    <v>en-US</v>
    <v>9d2412d4-46dc-8198-be73-9cd6c5fa1cf3</v>
    <v>536870912</v>
    <v>1</v>
    <v>289</v>
    <v>290</v>
    <v>Two Harbors, California</v>
    <v>4</v>
    <v>5</v>
    <v>Map</v>
    <v>6</v>
    <v>291</v>
    <v>1</v>
    <v>73</v>
    <v>4</v>
    <v>Two Harbors, colloquially known as "The Isthmus", is a small unincorporated community island village on the island of Santa Catalina Island, California, United States, with a population of 298. It is the second center of population on the ...</v>
    <v>1336</v>
    <v>1337</v>
    <v>1338</v>
    <v>1339</v>
    <v>Two Harbors, California</v>
    <v>1340</v>
    <v>44</v>
    <v>Two Harbors, California</v>
    <v>mdp/vdpid/5071800771503194113</v>
  </rv>
  <rv s="0">
    <v>536870912</v>
    <v>Ukiah, California</v>
    <v>df601104-6aa2-d3db-1c31-5fa33b758b4f</v>
    <v>en-US</v>
    <v>Map</v>
  </rv>
  <rv s="0">
    <v>536870912</v>
    <v>Vallejo, California</v>
    <v>86414b3d-ab19-4cba-a45f-8f8232a3b131</v>
    <v>en-US</v>
    <v>Map</v>
  </rv>
  <rv s="1">
    <fb>128.30998600000001</fb>
    <v>8</v>
  </rv>
  <rv s="2">
    <v>135</v>
    <v>6</v>
    <v>292</v>
    <v>7</v>
    <v>0</v>
    <v>Image of Vallejo, California</v>
  </rv>
  <rv s="1">
    <fb>38.104087999999997</fb>
    <v>9</v>
  </rv>
  <rv s="0">
    <v>805306368</v>
    <v>Robert McConnell (Mayor)</v>
    <v>93e7c097-a30d-16e3-16a8-60ada253f4df</v>
    <v>en-US</v>
    <v>Generic</v>
  </rv>
  <rv s="0">
    <v>805306368</v>
    <v>Deputy mayor (Mayor)</v>
    <v>f28dedcc-5c46-2051-39b0-92e8e65ad53b</v>
    <v>en-US</v>
    <v>Generic</v>
  </rv>
  <rv s="0">
    <v>805306368</v>
    <v>Rozzana Verder-Aliga (Mayor)</v>
    <v>44be6e9a-df7a-db0f-a5fb-472cb8ec9cbb</v>
    <v>en-US</v>
    <v>Generic</v>
  </rv>
  <rv s="0">
    <v>805306368</v>
    <v>Diosdado "JR" Matulac (Mayor)</v>
    <v>cfad2dcb-6dc9-958e-a6c7-ef6d3dfc7dc7</v>
    <v>en-US</v>
    <v>Generic</v>
  </rv>
  <rv s="0">
    <v>805306368</v>
    <v>Mina Loera-Diaz (Mayor)</v>
    <v>dc237243-1495-ed8c-8f1e-7cc79ca632fe</v>
    <v>en-US</v>
    <v>Generic</v>
  </rv>
  <rv s="0">
    <v>805306368</v>
    <v>Charles Palmares (Mayor)</v>
    <v>713f3a85-76fd-4e79-74ce-fc916a8b76d5</v>
    <v>en-US</v>
    <v>Generic</v>
  </rv>
  <rv s="0">
    <v>805306368</v>
    <v>Peter Bregenzer (Mayor)</v>
    <v>dac09451-7e16-4d8c-66a3-8080341d2a4a</v>
    <v>en-US</v>
    <v>Generic</v>
  </rv>
  <rv s="0">
    <v>805306368</v>
    <v>Cristina Arriola (Mayor)</v>
    <v>53f56ece-3ca9-724e-81e3-70afb9caa15c</v>
    <v>en-US</v>
    <v>Generic</v>
  </rv>
  <rv s="3">
    <v>110</v>
  </rv>
  <rv s="4">
    <v>https://www.bing.com/search?q=vallejo+california&amp;form=skydnc</v>
    <v>Learn more on Bing</v>
  </rv>
  <rv s="1">
    <fb>-122.256638</fb>
    <v>9</v>
  </rv>
  <rv s="1">
    <fb>126090</fb>
    <v>8</v>
  </rv>
  <rv s="5">
    <v>#VALUE!</v>
    <v>en-US</v>
    <v>86414b3d-ab19-4cba-a45f-8f8232a3b131</v>
    <v>536870912</v>
    <v>1</v>
    <v>293</v>
    <v>2</v>
    <v>Vallejo, California</v>
    <v>4</v>
    <v>5</v>
    <v>Map</v>
    <v>6</v>
    <v>7</v>
    <v>1</v>
    <v>401</v>
    <v>1344</v>
    <v>4</v>
    <v>Vallejo is a city in Solano County, California and the second largest city in the North Bay region of the Bay Area. Located on the shores of San Pablo Bay, the city had a population of 126,090 at the 2020 census. Vallejo is home to the ...</v>
    <v>1345</v>
    <v>1346</v>
    <v>1355</v>
    <v>1356</v>
    <v>1357</v>
    <v>Vallejo, California</v>
    <v>1358</v>
    <v>Vallejo, California</v>
    <v>mdp/vdpid/5057776122213695489</v>
  </rv>
  <rv s="0">
    <v>536870912</v>
    <v>Valley Springs, California</v>
    <v>787b2dec-d846-1035-ffca-7d91e141af4b</v>
    <v>en-US</v>
    <v>Map</v>
  </rv>
  <rv s="0">
    <v>536870912</v>
    <v>Calaveras County</v>
    <v>1ff351a9-d00d-0bb0-1308-b42f7d2ede25</v>
    <v>en-US</v>
    <v>Map</v>
  </rv>
  <rv s="1">
    <fb>25.578543</fb>
    <v>8</v>
  </rv>
  <rv s="2">
    <v>136</v>
    <v>6</v>
    <v>294</v>
    <v>7</v>
    <v>0</v>
    <v>Image of Valley Springs, California</v>
  </rv>
  <rv s="1">
    <fb>38.191666666666997</fb>
    <v>9</v>
  </rv>
  <rv s="4">
    <v>https://www.bing.com/search?q=valley+springs+california&amp;form=skydnc</v>
    <v>Learn more on Bing</v>
  </rv>
  <rv s="1">
    <fb>-120.82916666667001</fb>
    <v>9</v>
  </rv>
  <rv s="1">
    <fb>3779</fb>
    <v>8</v>
  </rv>
  <rv s="6">
    <v>#VALUE!</v>
    <v>en-US</v>
    <v>787b2dec-d846-1035-ffca-7d91e141af4b</v>
    <v>536870912</v>
    <v>1</v>
    <v>295</v>
    <v>16</v>
    <v>Valley Springs, California</v>
    <v>4</v>
    <v>5</v>
    <v>Map</v>
    <v>6</v>
    <v>7</v>
    <v>1</v>
    <v>1361</v>
    <v>1362</v>
    <v>4</v>
    <v>Valley Springs is a census-designated place in Calaveras County, California, United States, in the foothills of the Sierra Nevada Mountain Range. Valley Springs is registered as a California Historical Landmark, number 251.</v>
    <v>1363</v>
    <v>1364</v>
    <v>1365</v>
    <v>1366</v>
    <v>Valley Springs, California</v>
    <v>1367</v>
    <v>44</v>
    <v>Valley Springs, California</v>
    <v>mdp/vdpid/5058195042837987329</v>
  </rv>
  <rv s="0">
    <v>536870912</v>
    <v>Ventura, California</v>
    <v>5ef301c3-9471-16c9-1847-1389761616b6</v>
    <v>en-US</v>
    <v>Map</v>
  </rv>
  <rv s="1">
    <fb>83.124476000000001</fb>
    <v>8</v>
  </rv>
  <rv s="2">
    <v>137</v>
    <v>6</v>
    <v>296</v>
    <v>7</v>
    <v>0</v>
    <v>Image of Ventura, California</v>
  </rv>
  <rv s="1">
    <fb>34.267780000000002</fb>
    <v>9</v>
  </rv>
  <rv s="0">
    <v>805306368</v>
    <v>Joe Schroeder (Mayor)</v>
    <v>5a168169-f58f-736a-4382-a7016dc8f39a</v>
    <v>en-US</v>
    <v>Generic</v>
  </rv>
  <rv s="3">
    <v>111</v>
  </rv>
  <rv s="4">
    <v>https://www.bing.com/search?q=ventura+california&amp;form=skydnc</v>
    <v>Learn more on Bing</v>
  </rv>
  <rv s="1">
    <fb>-119.254206</fb>
    <v>9</v>
  </rv>
  <rv s="1">
    <fb>110763</fb>
    <v>8</v>
  </rv>
  <rv s="8">
    <v>#VALUE!</v>
    <v>en-US</v>
    <v>5ef301c3-9471-16c9-1847-1389761616b6</v>
    <v>536870912</v>
    <v>1</v>
    <v>297</v>
    <v>26</v>
    <v>Ventura, California</v>
    <v>4</v>
    <v>5</v>
    <v>Map</v>
    <v>6</v>
    <v>7</v>
    <v>1</v>
    <v>842</v>
    <v>1370</v>
    <v>4</v>
    <v>Ventura, officially named San Buenaventura, is a city in and the county seat of Ventura County, California, United States. It is a coastal city located northwest of Los Angeles. The population was 110,763 at the 2020 census. Ventura is a popular ...</v>
    <v>1371</v>
    <v>1372</v>
    <v>1374</v>
    <v>1375</v>
    <v>1376</v>
    <v>Ventura, California</v>
    <v>1377</v>
    <v>44</v>
    <v>Ventura, California</v>
    <v>mdp/vdpid/5059727555284697089</v>
  </rv>
  <rv s="0">
    <v>536870912</v>
    <v>Victorville, California</v>
    <v>2d0210ae-6c65-4bc6-aa15-6e5173517e0e</v>
    <v>en-US</v>
    <v>Map</v>
  </rv>
  <rv s="1">
    <fb>191.37876199999999</fb>
    <v>8</v>
  </rv>
  <rv s="2">
    <v>138</v>
    <v>6</v>
    <v>298</v>
    <v>7</v>
    <v>0</v>
    <v>Image of Victorville, California</v>
  </rv>
  <rv s="1">
    <fb>34.536111111110998</fb>
    <v>9</v>
  </rv>
  <rv s="0">
    <v>805306368</v>
    <v>Debra Jones (Mayor)</v>
    <v>c9ee922a-0428-5c1c-4866-38dbf948c71b</v>
    <v>en-US</v>
    <v>Generic</v>
  </rv>
  <rv s="3">
    <v>112</v>
  </rv>
  <rv s="4">
    <v>https://www.bing.com/search?q=victorville+california&amp;form=skydnc</v>
    <v>Learn more on Bing</v>
  </rv>
  <rv s="1">
    <fb>-117.28833333333</fb>
    <v>9</v>
  </rv>
  <rv s="1">
    <fb>134810</fb>
    <v>8</v>
  </rv>
  <rv s="5">
    <v>#VALUE!</v>
    <v>en-US</v>
    <v>2d0210ae-6c65-4bc6-aa15-6e5173517e0e</v>
    <v>536870912</v>
    <v>1</v>
    <v>299</v>
    <v>2</v>
    <v>Victorville, California</v>
    <v>4</v>
    <v>5</v>
    <v>Map</v>
    <v>6</v>
    <v>7</v>
    <v>1</v>
    <v>95</v>
    <v>1380</v>
    <v>4</v>
    <v>Victorville is a city in Victor Valley in San Bernardino County, California. Its population as of the 2020 census was 134,810. Victorville is the principal city of a Victor Valley–based urban area defined by the United States Census Bureau: the ...</v>
    <v>1381</v>
    <v>1382</v>
    <v>1384</v>
    <v>1385</v>
    <v>1386</v>
    <v>Victorville, California</v>
    <v>1387</v>
    <v>Victorville, California</v>
    <v>mdp/vdpid/5061260473253494785</v>
  </rv>
  <rv s="0">
    <v>536870912</v>
    <v>Visalia, California</v>
    <v>1772cac6-8720-4618-8067-d37070476217</v>
    <v>en-US</v>
    <v>Map</v>
  </rv>
  <rv s="1">
    <fb>97.108869999999996</fb>
    <v>8</v>
  </rv>
  <rv s="2">
    <v>139</v>
    <v>6</v>
    <v>300</v>
    <v>7</v>
    <v>0</v>
    <v>Image of Visalia, California</v>
  </rv>
  <rv s="1">
    <fb>36.330277777777802</fb>
    <v>9</v>
  </rv>
  <rv s="3">
    <v>113</v>
  </rv>
  <rv s="4">
    <v>https://www.bing.com/search?q=visalia+california&amp;form=skydnc</v>
    <v>Learn more on Bing</v>
  </rv>
  <rv s="1">
    <fb>-119.2925</fb>
    <v>9</v>
  </rv>
  <rv s="1">
    <fb>141384</fb>
    <v>8</v>
  </rv>
  <rv s="8">
    <v>#VALUE!</v>
    <v>en-US</v>
    <v>1772cac6-8720-4618-8067-d37070476217</v>
    <v>536870912</v>
    <v>1</v>
    <v>301</v>
    <v>26</v>
    <v>Visalia, California</v>
    <v>4</v>
    <v>5</v>
    <v>Map</v>
    <v>6</v>
    <v>7</v>
    <v>1</v>
    <v>942</v>
    <v>1390</v>
    <v>4</v>
    <v>Visalia is a city in the agricultural San Joaquin Valley of California. The population was 141,384 as per the 2020 census. Visalia is the fifth-largest city in the San Joaquin Valley, the 42nd most populous in California, and 192nd in the United ...</v>
    <v>1391</v>
    <v>1392</v>
    <v>1393</v>
    <v>1394</v>
    <v>1395</v>
    <v>Visalia, California</v>
    <v>1396</v>
    <v>44</v>
    <v>Visalia, California</v>
    <v>mdp/vdpid/5059379004981641217</v>
  </rv>
  <rv s="0">
    <v>536870912</v>
    <v>Walnut Creek, California</v>
    <v>7934c790-4854-4dc0-96eb-929b3951ccee</v>
    <v>en-US</v>
    <v>Map</v>
  </rv>
  <rv s="1">
    <fb>51.206265999999999</fb>
    <v>8</v>
  </rv>
  <rv s="2">
    <v>140</v>
    <v>6</v>
    <v>302</v>
    <v>7</v>
    <v>0</v>
    <v>Image of Walnut Creek, California</v>
  </rv>
  <rv s="1">
    <fb>37.906313099999998</fb>
    <v>9</v>
  </rv>
  <rv s="3">
    <v>114</v>
  </rv>
  <rv s="4">
    <v>https://www.bing.com/search?q=walnut+creek+california&amp;form=skydnc</v>
    <v>Learn more on Bing</v>
  </rv>
  <rv s="1">
    <fb>-122.06496300000001</fb>
    <v>9</v>
  </rv>
  <rv s="1">
    <fb>70127</fb>
    <v>8</v>
  </rv>
  <rv s="8">
    <v>#VALUE!</v>
    <v>en-US</v>
    <v>7934c790-4854-4dc0-96eb-929b3951ccee</v>
    <v>536870912</v>
    <v>1</v>
    <v>303</v>
    <v>26</v>
    <v>Walnut Creek, California</v>
    <v>4</v>
    <v>5</v>
    <v>Map</v>
    <v>6</v>
    <v>7</v>
    <v>1</v>
    <v>26</v>
    <v>1399</v>
    <v>4</v>
    <v>Walnut Creek is a city in Contra Costa County, California, United States, located in the East Bay region of the San Francisco Bay Area, about 16 miles east of the city of Oakland. Walnut Creek has a total population of 70,127 per the 2020 ...</v>
    <v>1400</v>
    <v>1401</v>
    <v>1402</v>
    <v>1403</v>
    <v>1404</v>
    <v>Walnut Creek, California</v>
    <v>1405</v>
    <v>44</v>
    <v>Walnut Creek, California</v>
    <v>mdp/vdpid/5057967707652096001</v>
  </rv>
  <rv s="0">
    <v>536870912</v>
    <v>Weed, California</v>
    <v>e386b9d8-2ef9-23bd-824b-c34e6964a8b8</v>
    <v>en-US</v>
    <v>Map</v>
  </rv>
  <rv s="1">
    <fb>12.417218999999999</fb>
    <v>8</v>
  </rv>
  <rv s="2">
    <v>141</v>
    <v>6</v>
    <v>304</v>
    <v>7</v>
    <v>0</v>
    <v>Image of Weed, California</v>
  </rv>
  <rv s="1">
    <fb>41.424166666666999</fb>
    <v>9</v>
  </rv>
  <rv s="0">
    <v>805306368</v>
    <v>Susan Tavalero (Mayor)</v>
    <v>0bc52d61-aee1-ca05-268e-e1c5611e8950</v>
    <v>en-US</v>
    <v>Generic</v>
  </rv>
  <rv s="3">
    <v>115</v>
  </rv>
  <rv s="4">
    <v>https://www.bing.com/search?q=weed+california&amp;form=skydnc</v>
    <v>Learn more on Bing</v>
  </rv>
  <rv s="1">
    <fb>-122.38444444444001</fb>
    <v>9</v>
  </rv>
  <rv s="1">
    <fb>2862</fb>
    <v>8</v>
  </rv>
  <rv s="5">
    <v>#VALUE!</v>
    <v>en-US</v>
    <v>e386b9d8-2ef9-23bd-824b-c34e6964a8b8</v>
    <v>536870912</v>
    <v>1</v>
    <v>305</v>
    <v>2</v>
    <v>Weed, California</v>
    <v>4</v>
    <v>5</v>
    <v>Map</v>
    <v>6</v>
    <v>7</v>
    <v>1</v>
    <v>774</v>
    <v>1408</v>
    <v>4</v>
    <v>Weed is a city in Siskiyou County, California, United States. As of the 2020 Census, the city had a total population of 2,862, down from 2,967 in 2010. There are several unincorporated communities adjacent to, or just outside, Weed proper, ...</v>
    <v>1409</v>
    <v>1410</v>
    <v>1412</v>
    <v>1413</v>
    <v>1414</v>
    <v>Weed, California</v>
    <v>1415</v>
    <v>Weed, California</v>
    <v>mdp/vdpid/5054282113302396929</v>
  </rv>
  <rv s="0">
    <v>536870912</v>
    <v>West Covina, California</v>
    <v>e69bab84-19e8-49e8-a685-b2e69feb31cb</v>
    <v>en-US</v>
    <v>Map</v>
  </rv>
  <rv s="1">
    <fb>41.671149</fb>
    <v>8</v>
  </rv>
  <rv s="2">
    <v>142</v>
    <v>6</v>
    <v>306</v>
    <v>7</v>
    <v>0</v>
    <v>Image of West Covina, California</v>
  </rv>
  <rv s="1">
    <fb>34.056666666666999</fb>
    <v>9</v>
  </rv>
  <rv s="0">
    <v>805306368</v>
    <v>Rosario Diaz (Mayor)</v>
    <v>c23c9dc9-f54a-6c63-434d-7998a58d46e3</v>
    <v>en-US</v>
    <v>Generic</v>
  </rv>
  <rv s="3">
    <v>116</v>
  </rv>
  <rv s="4">
    <v>https://www.bing.com/search?q=west+covina+california&amp;form=skydnc</v>
    <v>Learn more on Bing</v>
  </rv>
  <rv s="1">
    <fb>-117.91861111111</fb>
    <v>9</v>
  </rv>
  <rv s="1">
    <fb>109501</fb>
    <v>8</v>
  </rv>
  <rv s="5">
    <v>#VALUE!</v>
    <v>en-US</v>
    <v>e69bab84-19e8-49e8-a685-b2e69feb31cb</v>
    <v>536870912</v>
    <v>1</v>
    <v>307</v>
    <v>2</v>
    <v>West Covina, California</v>
    <v>4</v>
    <v>5</v>
    <v>Map</v>
    <v>6</v>
    <v>7</v>
    <v>1</v>
    <v>73</v>
    <v>1418</v>
    <v>4</v>
    <v>West Covina is a suburban city in Los Angeles County, California, United States. Located 19 miles east of Downtown Los Angeles in the eastern San Gabriel Valley, it is part of Greater Los Angeles. The population for the city was 106,098 at the ...</v>
    <v>1419</v>
    <v>1420</v>
    <v>1422</v>
    <v>1423</v>
    <v>1424</v>
    <v>West Covina, California</v>
    <v>1425</v>
    <v>West Covina, California</v>
    <v>mdp/vdpid/5061291807204179969</v>
  </rv>
  <rv s="0">
    <v>536870912</v>
    <v>Williams, California</v>
    <v>238906f0-d14c-c2a3-52fa-dc6977d47429</v>
    <v>en-US</v>
    <v>Map</v>
  </rv>
  <rv s="1">
    <fb>14.101137</fb>
    <v>8</v>
  </rv>
  <rv s="2">
    <v>143</v>
    <v>6</v>
    <v>308</v>
    <v>7</v>
    <v>0</v>
    <v>Image of Williams, California</v>
  </rv>
  <rv s="1">
    <fb>39.154722222221999</fb>
    <v>9</v>
  </rv>
  <rv s="0">
    <v>805306368</v>
    <v>Alfred Sellers Jr. (Mayor)</v>
    <v>08a40df9-d88b-d7a4-7a18-14245b0b117c</v>
    <v>en-US</v>
    <v>Generic</v>
  </rv>
  <rv s="3">
    <v>117</v>
  </rv>
  <rv s="4">
    <v>https://www.bing.com/search?q=williams+california&amp;form=skydnc</v>
    <v>Learn more on Bing</v>
  </rv>
  <rv s="1">
    <fb>-122.14944444443999</fb>
    <v>9</v>
  </rv>
  <rv s="1">
    <fb>5538</fb>
    <v>8</v>
  </rv>
  <rv s="5">
    <v>#VALUE!</v>
    <v>en-US</v>
    <v>238906f0-d14c-c2a3-52fa-dc6977d47429</v>
    <v>536870912</v>
    <v>1</v>
    <v>309</v>
    <v>2</v>
    <v>Williams, California</v>
    <v>4</v>
    <v>5</v>
    <v>Map</v>
    <v>6</v>
    <v>7</v>
    <v>1</v>
    <v>37</v>
    <v>1428</v>
    <v>4</v>
    <v>Williams is a city in Colusa County, California. The population was 5,643 at the time of the 2010 census, up from 3,670 at the 2000 census.</v>
    <v>1429</v>
    <v>1430</v>
    <v>1432</v>
    <v>1433</v>
    <v>1434</v>
    <v>Williams, California</v>
    <v>1435</v>
    <v>Williams, California</v>
    <v>mdp/vdpid/5057690047411650561</v>
  </rv>
  <rv s="0">
    <v>536870912</v>
    <v>Willits, California</v>
    <v>d93f3b95-5f23-ff62-aaf0-a519028a1195</v>
    <v>en-US</v>
    <v>Map</v>
  </rv>
  <rv s="1">
    <fb>7.26023</fb>
    <v>8</v>
  </rv>
  <rv s="2">
    <v>144</v>
    <v>6</v>
    <v>310</v>
    <v>7</v>
    <v>0</v>
    <v>Image of Willits, California</v>
  </rv>
  <rv s="1">
    <fb>39.409722222222001</fb>
    <v>9</v>
  </rv>
  <rv s="0">
    <v>805306368</v>
    <v>Saprina Rodriguez (Mayor)</v>
    <v>90042081-1dd6-c8e3-2b88-7734b7a283eb</v>
    <v>en-US</v>
    <v>Generic</v>
  </rv>
  <rv s="3">
    <v>118</v>
  </rv>
  <rv s="4">
    <v>https://www.bing.com/search?q=willits+california&amp;form=skydnc</v>
    <v>Learn more on Bing</v>
  </rv>
  <rv s="1">
    <fb>-123.35555555556</fb>
    <v>9</v>
  </rv>
  <rv s="1">
    <fb>4988</fb>
    <v>8</v>
  </rv>
  <rv s="5">
    <v>#VALUE!</v>
    <v>en-US</v>
    <v>d93f3b95-5f23-ff62-aaf0-a519028a1195</v>
    <v>536870912</v>
    <v>1</v>
    <v>311</v>
    <v>2</v>
    <v>Willits, California</v>
    <v>4</v>
    <v>5</v>
    <v>Map</v>
    <v>6</v>
    <v>7</v>
    <v>1</v>
    <v>285</v>
    <v>1438</v>
    <v>4</v>
    <v>Willits is a city in Mendocino County, California, United States. It is located about 20 miles north-northwest of Ukiah, at an elevation of 1,391 feet. The population was 4,988 at the 2020 census. Willits is at the center of Mendocino County and ...</v>
    <v>1439</v>
    <v>1440</v>
    <v>1442</v>
    <v>1443</v>
    <v>1444</v>
    <v>Willits, California</v>
    <v>1445</v>
    <v>Willits, California</v>
    <v>mdp/vdpid/5054548751901786113</v>
  </rv>
  <rv s="0">
    <v>536870912</v>
    <v>Willows, California</v>
    <v>8bc854e5-3d98-a61c-dfdc-e341458aaa6b</v>
    <v>en-US</v>
    <v>Map</v>
  </rv>
  <rv s="0">
    <v>536870912</v>
    <v>Glenn County</v>
    <v>ff412a4d-db70-3d90-d4d3-d3a4400a5af1</v>
    <v>en-US</v>
    <v>Map</v>
  </rv>
  <rv s="1">
    <fb>7.4414499999999997</fb>
    <v>8</v>
  </rv>
  <rv s="2">
    <v>145</v>
    <v>6</v>
    <v>312</v>
    <v>7</v>
    <v>0</v>
    <v>Image of Willows, California</v>
  </rv>
  <rv s="1">
    <fb>39.524444444444001</fb>
    <v>9</v>
  </rv>
  <rv s="4">
    <v>https://www.bing.com/search?q=willows+california&amp;form=skydnc</v>
    <v>Learn more on Bing</v>
  </rv>
  <rv s="1">
    <fb>-122.19361111111</fb>
    <v>9</v>
  </rv>
  <rv s="1">
    <fb>6293</fb>
    <v>8</v>
  </rv>
  <rv s="6">
    <v>#VALUE!</v>
    <v>en-US</v>
    <v>8bc854e5-3d98-a61c-dfdc-e341458aaa6b</v>
    <v>536870912</v>
    <v>1</v>
    <v>313</v>
    <v>16</v>
    <v>Willows, California</v>
    <v>4</v>
    <v>5</v>
    <v>Map</v>
    <v>6</v>
    <v>7</v>
    <v>1</v>
    <v>1448</v>
    <v>1449</v>
    <v>4</v>
    <v>Willows is a city and the county seat of Glenn County, California, located in the Sacramento Valley region of Northern California. The city is a home to regional government offices, including the California Highway Patrol, California Department ...</v>
    <v>1450</v>
    <v>1451</v>
    <v>1452</v>
    <v>1453</v>
    <v>Willows, California</v>
    <v>1454</v>
    <v>44</v>
    <v>Willows, California</v>
    <v>mdp/vdpid/5054680030513201153</v>
  </rv>
  <rv s="0">
    <v>536870912</v>
    <v>Woodland, California</v>
    <v>feeee441-eade-42a0-0347-6b025d2d4714</v>
    <v>en-US</v>
    <v>Map</v>
  </rv>
  <rv s="1">
    <fb>39.642851</fb>
    <v>8</v>
  </rv>
  <rv s="2">
    <v>146</v>
    <v>6</v>
    <v>314</v>
    <v>7</v>
    <v>0</v>
    <v>Image of Woodland, California</v>
  </rv>
  <rv s="1">
    <fb>38.678611111111003</fb>
    <v>9</v>
  </rv>
  <rv s="0">
    <v>805306368</v>
    <v>Mayra Vega (Mayor)</v>
    <v>dfc2c89a-e141-c82c-7a97-c530e44bf437</v>
    <v>en-US</v>
    <v>Generic</v>
  </rv>
  <rv s="3">
    <v>119</v>
  </rv>
  <rv s="4">
    <v>https://www.bing.com/search?q=woodland+california&amp;form=skydnc</v>
    <v>Learn more on Bing</v>
  </rv>
  <rv s="1">
    <fb>-121.77333333333</fb>
    <v>9</v>
  </rv>
  <rv s="1">
    <fb>61032</fb>
    <v>8</v>
  </rv>
  <rv s="5">
    <v>#VALUE!</v>
    <v>en-US</v>
    <v>feeee441-eade-42a0-0347-6b025d2d4714</v>
    <v>536870912</v>
    <v>1</v>
    <v>315</v>
    <v>2</v>
    <v>Woodland, California</v>
    <v>4</v>
    <v>5</v>
    <v>Map</v>
    <v>6</v>
    <v>7</v>
    <v>1</v>
    <v>328</v>
    <v>1457</v>
    <v>4</v>
    <v>Woodland is a city in and the county seat of Yolo County, California, located approximately 15 miles northwest of Sacramento, and is a part of the Sacramento metropolitan area. The population was 61,032 at the 2020 census.</v>
    <v>1458</v>
    <v>1459</v>
    <v>1461</v>
    <v>1462</v>
    <v>1463</v>
    <v>Woodland, California</v>
    <v>1464</v>
    <v>Woodland, California</v>
    <v>mdp/vdpid/5057764505115688961</v>
  </rv>
  <rv s="0">
    <v>536870912</v>
    <v>Yreka, California</v>
    <v>3c6d3e53-0a59-472f-5372-c18094575467</v>
    <v>en-US</v>
    <v>Map</v>
  </rv>
  <rv s="1">
    <fb>26.050052000000001</fb>
    <v>8</v>
  </rv>
  <rv s="2">
    <v>147</v>
    <v>6</v>
    <v>316</v>
    <v>7</v>
    <v>0</v>
    <v>Image of Yreka, California</v>
  </rv>
  <rv s="1">
    <fb>41.726666666667001</fb>
    <v>9</v>
  </rv>
  <rv s="4">
    <v>https://www.bing.com/search?q=yreka+california&amp;form=skydnc</v>
    <v>Learn more on Bing</v>
  </rv>
  <rv s="1">
    <fb>-122.6375</fb>
    <v>9</v>
  </rv>
  <rv s="1">
    <fb>7807</fb>
    <v>8</v>
  </rv>
  <rv s="6">
    <v>#VALUE!</v>
    <v>en-US</v>
    <v>3c6d3e53-0a59-472f-5372-c18094575467</v>
    <v>536870912</v>
    <v>1</v>
    <v>317</v>
    <v>16</v>
    <v>Yreka, California</v>
    <v>4</v>
    <v>5</v>
    <v>Map</v>
    <v>6</v>
    <v>7</v>
    <v>1</v>
    <v>774</v>
    <v>1467</v>
    <v>4</v>
    <v>Yreka is the county seat of Siskiyou County, California, United States, near the Shasta River; the city has an area of about 10 square miles, most of it land. As of the 2020 United States Census, the population was 7,807, reflecting a meager ...</v>
    <v>1468</v>
    <v>1469</v>
    <v>1470</v>
    <v>1471</v>
    <v>Yreka, California</v>
    <v>1472</v>
    <v>44</v>
    <v>Yreka, California</v>
    <v>mdp/vdpid/5054227517020307457</v>
  </rv>
  <rv s="0">
    <v>536870912</v>
    <v>Yuba City, California</v>
    <v>82f92478-c796-1042-fd86-d737d18d97c8</v>
    <v>en-US</v>
    <v>Map</v>
  </rv>
  <rv s="0">
    <v>536870912</v>
    <v>Sutter County</v>
    <v>378fcc2d-4232-98e2-8b36-e0a94fd078e2</v>
    <v>en-US</v>
    <v>Map</v>
  </rv>
  <rv s="1">
    <fb>38.858280000000001</fb>
    <v>8</v>
  </rv>
  <rv s="2">
    <v>148</v>
    <v>6</v>
    <v>318</v>
    <v>7</v>
    <v>0</v>
    <v>Image of Yuba City, California</v>
  </rv>
  <rv s="1">
    <fb>39.134722222222003</fb>
    <v>9</v>
  </rv>
  <rv s="0">
    <v>805306368</v>
    <v>Wade Kirchner (Mayor)</v>
    <v>a7607aca-35e8-028f-22fd-fc7b69e2de40</v>
    <v>en-US</v>
    <v>Generic</v>
  </rv>
  <rv s="3">
    <v>120</v>
  </rv>
  <rv s="4">
    <v>https://www.bing.com/search?q=yuba+city+california&amp;form=skydnc</v>
    <v>Learn more on Bing</v>
  </rv>
  <rv s="1">
    <fb>-121.62611111111001</fb>
    <v>9</v>
  </rv>
  <rv s="1">
    <fb>70117</fb>
    <v>8</v>
  </rv>
  <rv s="8">
    <v>#VALUE!</v>
    <v>en-US</v>
    <v>82f92478-c796-1042-fd86-d737d18d97c8</v>
    <v>536870912</v>
    <v>1</v>
    <v>319</v>
    <v>26</v>
    <v>Yuba City, California</v>
    <v>4</v>
    <v>5</v>
    <v>Map</v>
    <v>6</v>
    <v>7</v>
    <v>1</v>
    <v>1475</v>
    <v>1476</v>
    <v>4</v>
    <v>Yuba City is a city in Northern California and the county seat of Sutter County, California, United States. The population was 70,117 at the 2020 census. Yuba City is the principal city of the Yuba City Metropolitan Statistical Area which ...</v>
    <v>1477</v>
    <v>1478</v>
    <v>1480</v>
    <v>1481</v>
    <v>1482</v>
    <v>Yuba City, California</v>
    <v>1483</v>
    <v>44</v>
    <v>Yuba City, California</v>
    <v>mdp/vdpid/5057723002930593793</v>
  </rv>
  <rv s="0">
    <v>536870912</v>
    <v>Yucaipa, California</v>
    <v>c759ce5b-b987-f5ca-8c7b-752e51fcf99b</v>
    <v>en-US</v>
    <v>Map</v>
  </rv>
  <rv s="1">
    <fb>73.532054000000002</fb>
    <v>8</v>
  </rv>
  <rv s="2">
    <v>149</v>
    <v>6</v>
    <v>320</v>
    <v>7</v>
    <v>0</v>
    <v>Image of Yucaipa, California</v>
  </rv>
  <rv s="1">
    <fb>34.030277777777997</fb>
    <v>9</v>
  </rv>
  <rv s="0">
    <v>805306368</v>
    <v>Justin Beaver (Mayor)</v>
    <v>5d6e5401-3b68-0472-b08e-de59859a52c3</v>
    <v>en-US</v>
    <v>Generic</v>
  </rv>
  <rv s="3">
    <v>121</v>
  </rv>
  <rv s="4">
    <v>https://www.bing.com/search?q=yucaipa+california&amp;form=skydnc</v>
    <v>Learn more on Bing</v>
  </rv>
  <rv s="1">
    <fb>-117.04861111111001</fb>
    <v>9</v>
  </rv>
  <rv s="1">
    <fb>54542</fb>
    <v>8</v>
  </rv>
  <rv s="8">
    <v>#VALUE!</v>
    <v>en-US</v>
    <v>c759ce5b-b987-f5ca-8c7b-752e51fcf99b</v>
    <v>536870912</v>
    <v>1</v>
    <v>321</v>
    <v>26</v>
    <v>Yucaipa, California</v>
    <v>4</v>
    <v>5</v>
    <v>Map</v>
    <v>6</v>
    <v>7</v>
    <v>1</v>
    <v>95</v>
    <v>1486</v>
    <v>4</v>
    <v>Yucaipa is a city located 10 miles east of San Bernardino, in San Bernardino County, California, United States. The population was 54,542 at the 2020 census, up from 51,367 at the 2010 census. Yucaipa has the distinction of being the longtime ...</v>
    <v>1487</v>
    <v>1488</v>
    <v>1490</v>
    <v>1491</v>
    <v>1492</v>
    <v>Yucaipa, California</v>
    <v>1493</v>
    <v>44</v>
    <v>Yucaipa, California</v>
    <v>mdp/vdpid/5061333865688203265</v>
  </rv>
  <rv s="0">
    <v>536870912</v>
    <v>Albany, Oregon</v>
    <v>35319002-e668-c0f5-acf7-dbda9ca031ee</v>
    <v>en-US</v>
    <v>Map</v>
  </rv>
  <rv s="0">
    <v>536870912</v>
    <v>Oregon</v>
    <v>cacd36fd-7c62-43e2-a632-64a2a1811933</v>
    <v>en-US</v>
    <v>Map</v>
  </rv>
  <rv s="0">
    <v>536870912</v>
    <v>Linn County</v>
    <v>77c106fc-171b-090c-4a82-05ec0bb81eed</v>
    <v>en-US</v>
    <v>Map</v>
  </rv>
  <rv s="1">
    <fb>45.966912999999998</fb>
    <v>8</v>
  </rv>
  <rv s="2">
    <v>150</v>
    <v>6</v>
    <v>322</v>
    <v>7</v>
    <v>0</v>
    <v>Image of Albany, Oregon</v>
  </rv>
  <rv s="1">
    <fb>44.630277777777998</fb>
    <v>9</v>
  </rv>
  <rv s="0">
    <v>805306368</v>
    <v>Alex Johnson II (Mayor)</v>
    <v>39deaa6e-2cbc-996b-4db0-d2fa2671903c</v>
    <v>en-US</v>
    <v>Generic</v>
  </rv>
  <rv s="3">
    <v>122</v>
  </rv>
  <rv s="4">
    <v>https://www.bing.com/search?q=albany+oregon&amp;form=skydnc</v>
    <v>Learn more on Bing</v>
  </rv>
  <rv s="1">
    <fb>-123.09611111111001</fb>
    <v>9</v>
  </rv>
  <rv s="1">
    <fb>56472</fb>
    <v>8</v>
  </rv>
  <rv s="5">
    <v>#VALUE!</v>
    <v>en-US</v>
    <v>35319002-e668-c0f5-acf7-dbda9ca031ee</v>
    <v>536870912</v>
    <v>1</v>
    <v>323</v>
    <v>2</v>
    <v>Albany, Oregon</v>
    <v>4</v>
    <v>5</v>
    <v>Map</v>
    <v>6</v>
    <v>7</v>
    <v>1496</v>
    <v>1497</v>
    <v>1498</v>
    <v>4</v>
    <v>Albany is the county seat of Linn County, Oregon, and is the 11th most populous city in that state. Albany is located in the Willamette Valley at the confluence of the Calapooia River and the Willamette River in both Linn and Benton counties, ...</v>
    <v>1499</v>
    <v>1500</v>
    <v>1502</v>
    <v>1503</v>
    <v>1504</v>
    <v>Albany, Oregon</v>
    <v>1505</v>
    <v>Albany, Oregon</v>
    <v>mdp/vdpid/5053067981412630529</v>
  </rv>
  <rv s="0">
    <v>536870912</v>
    <v>Ashland, Oregon</v>
    <v>b290228d-068e-e44b-9a8f-8fbc72864744</v>
    <v>en-US</v>
    <v>Map</v>
  </rv>
  <rv s="0">
    <v>536870912</v>
    <v>Jackson County</v>
    <v>94fa36cf-51f3-6af2-d63f-971e56a8e7c6</v>
    <v>en-US</v>
    <v>Map</v>
  </rv>
  <rv s="1">
    <fb>17.194299999999998</fb>
    <v>8</v>
  </rv>
  <rv s="2">
    <v>151</v>
    <v>6</v>
    <v>324</v>
    <v>7</v>
    <v>0</v>
    <v>Image of Ashland, Oregon</v>
  </rv>
  <rv s="1">
    <fb>42.191388888889001</fb>
    <v>9</v>
  </rv>
  <rv s="0">
    <v>805306368</v>
    <v>Tonya Graham (Mayor)</v>
    <v>bec4e2ff-951d-5906-7b96-5709e6a4e425</v>
    <v>en-US</v>
    <v>Generic</v>
  </rv>
  <rv s="3">
    <v>123</v>
  </rv>
  <rv s="4">
    <v>https://www.bing.com/search?q=ashland+oregon&amp;form=skydnc</v>
    <v>Learn more on Bing</v>
  </rv>
  <rv s="1">
    <fb>-122.70083333333</fb>
    <v>9</v>
  </rv>
  <rv s="1">
    <fb>21360</fb>
    <v>8</v>
  </rv>
  <rv s="5">
    <v>#VALUE!</v>
    <v>en-US</v>
    <v>b290228d-068e-e44b-9a8f-8fbc72864744</v>
    <v>536870912</v>
    <v>1</v>
    <v>325</v>
    <v>2</v>
    <v>Ashland, Oregon</v>
    <v>4</v>
    <v>5</v>
    <v>Map</v>
    <v>6</v>
    <v>7</v>
    <v>1496</v>
    <v>1508</v>
    <v>1509</v>
    <v>4</v>
    <v>Ashland is a city in Jackson County, Oregon, United States. It lies along Interstate 5 approximately 16 miles north of the California border and near the south end of the Rogue Valley. The city's population was 21,360 at the 2020 census.</v>
    <v>1510</v>
    <v>1511</v>
    <v>1513</v>
    <v>1514</v>
    <v>1515</v>
    <v>Ashland, Oregon</v>
    <v>1516</v>
    <v>Ashland, Oregon</v>
    <v>mdp/vdpid/5054208719693283329</v>
  </rv>
  <rv s="0">
    <v>536870912</v>
    <v>Astoria, Oregon</v>
    <v>3d41ebc2-b8f6-2e04-1823-5db69abb4dc2</v>
    <v>en-US</v>
    <v>Map</v>
  </rv>
  <rv s="0">
    <v>536870912</v>
    <v>Clatsop County</v>
    <v>8a73aa5f-4a2e-2733-7605-c3d5d803d946</v>
    <v>en-US</v>
    <v>Map</v>
  </rv>
  <rv s="1">
    <fb>25.774581999999999</fb>
    <v>8</v>
  </rv>
  <rv s="2">
    <v>152</v>
    <v>6</v>
    <v>326</v>
    <v>7</v>
    <v>0</v>
    <v>Image of Astoria, Oregon</v>
  </rv>
  <rv s="1">
    <fb>46.183333333333003</fb>
    <v>9</v>
  </rv>
  <rv s="0">
    <v>805306368</v>
    <v>Sean Fitzpatrick (Mayor)</v>
    <v>0d77e098-b7b3-88b0-1ebd-a9e787d3ee1f</v>
    <v>en-US</v>
    <v>Generic</v>
  </rv>
  <rv s="3">
    <v>124</v>
  </rv>
  <rv s="4">
    <v>https://www.bing.com/search?q=astoria+oregon&amp;form=skydnc</v>
    <v>Learn more on Bing</v>
  </rv>
  <rv s="1">
    <fb>-123.83472222221999</fb>
    <v>9</v>
  </rv>
  <rv s="1">
    <fb>10181</fb>
    <v>8</v>
  </rv>
  <rv s="8">
    <v>#VALUE!</v>
    <v>en-US</v>
    <v>3d41ebc2-b8f6-2e04-1823-5db69abb4dc2</v>
    <v>536870912</v>
    <v>1</v>
    <v>327</v>
    <v>26</v>
    <v>Astoria, Oregon</v>
    <v>4</v>
    <v>5</v>
    <v>Map</v>
    <v>6</v>
    <v>7</v>
    <v>1496</v>
    <v>1519</v>
    <v>1520</v>
    <v>4</v>
    <v>Astoria is a port city and the seat of Clatsop County, Oregon, United States. Founded in 1811, Astoria is the oldest city in the state and was the first permanent American settlement west of the Rocky Mountains. The county is the northwest ...</v>
    <v>1521</v>
    <v>1522</v>
    <v>1524</v>
    <v>1525</v>
    <v>1526</v>
    <v>Astoria, Oregon</v>
    <v>1527</v>
    <v>44</v>
    <v>Astoria, Oregon</v>
    <v>mdp/vdpid/4860796063423922177</v>
  </rv>
  <rv s="0">
    <v>536870912</v>
    <v>Baker City, Oregon</v>
    <v>62c3e6f1-be46-4035-fc06-7582f7d46f3c</v>
    <v>en-US</v>
    <v>Map</v>
  </rv>
  <rv s="0">
    <v>536870912</v>
    <v>Baker County</v>
    <v>fe78e017-81c3-73e5-7616-68e32bc4861f</v>
    <v>en-US</v>
    <v>Map</v>
  </rv>
  <rv s="1">
    <fb>18.548538000000001</fb>
    <v>8</v>
  </rv>
  <rv s="2">
    <v>153</v>
    <v>6</v>
    <v>328</v>
    <v>7</v>
    <v>0</v>
    <v>Image of Baker City, Oregon</v>
  </rv>
  <rv s="1">
    <fb>44.774999999999999</fb>
    <v>9</v>
  </rv>
  <rv s="0">
    <v>805306368</v>
    <v>Beverly Calder (Mayor)</v>
    <v>30a110d6-0c28-353b-f693-7c9c810c716e</v>
    <v>en-US</v>
    <v>Generic</v>
  </rv>
  <rv s="3">
    <v>125</v>
  </rv>
  <rv s="4">
    <v>https://www.bing.com/search?q=baker+city+oregon&amp;form=skydnc</v>
    <v>Learn more on Bing</v>
  </rv>
  <rv s="1">
    <fb>-117.83444444444</fb>
    <v>9</v>
  </rv>
  <rv s="1">
    <fb>10099</fb>
    <v>8</v>
  </rv>
  <rv s="8">
    <v>#VALUE!</v>
    <v>en-US</v>
    <v>62c3e6f1-be46-4035-fc06-7582f7d46f3c</v>
    <v>536870912</v>
    <v>1</v>
    <v>329</v>
    <v>26</v>
    <v>Baker City, Oregon</v>
    <v>4</v>
    <v>5</v>
    <v>Map</v>
    <v>6</v>
    <v>7</v>
    <v>1496</v>
    <v>1530</v>
    <v>1531</v>
    <v>4</v>
    <v>Baker City is a city in and the county seat of Baker County, Oregon, United States. It was named after Edward Dickinson Baker, the only U.S. Senator ever killed in military combat. The population was 10,099 at the time of the 2020 census.</v>
    <v>1532</v>
    <v>1533</v>
    <v>1535</v>
    <v>1536</v>
    <v>1537</v>
    <v>Baker City, Oregon</v>
    <v>1538</v>
    <v>44</v>
    <v>Baker City, Oregon</v>
    <v>mdp/vdpid/5055297820253224961</v>
  </rv>
  <rv s="0">
    <v>536870912</v>
    <v>Bandon, Oregon</v>
    <v>1cc31b7a-f2d4-80a6-3241-0e59644c946f</v>
    <v>en-US</v>
    <v>Map</v>
  </rv>
  <rv s="0">
    <v>536870912</v>
    <v>Coos County</v>
    <v>c429043f-067b-3700-5559-c73f65e81c6f</v>
    <v>en-US</v>
    <v>Map</v>
  </rv>
  <rv s="1">
    <fb>8.1523009999999996</fb>
    <v>8</v>
  </rv>
  <rv s="2">
    <v>154</v>
    <v>6</v>
    <v>330</v>
    <v>7</v>
    <v>0</v>
    <v>Image of Bandon, Oregon</v>
  </rv>
  <rv s="1">
    <fb>43.118888888889003</fb>
    <v>9</v>
  </rv>
  <rv s="0">
    <v>805306368</v>
    <v>Mary Schamehorn (Mayor)</v>
    <v>2ab3fa4a-bd04-97ce-ab46-ed0a2a593c83</v>
    <v>en-US</v>
    <v>Generic</v>
  </rv>
  <rv s="3">
    <v>126</v>
  </rv>
  <rv s="4">
    <v>https://www.bing.com/search?q=bandon+oregon&amp;form=skydnc</v>
    <v>Learn more on Bing</v>
  </rv>
  <rv s="1">
    <fb>-124.41194444444</fb>
    <v>9</v>
  </rv>
  <rv s="1">
    <fb>3321</fb>
    <v>8</v>
  </rv>
  <rv s="8">
    <v>#VALUE!</v>
    <v>en-US</v>
    <v>1cc31b7a-f2d4-80a6-3241-0e59644c946f</v>
    <v>536870912</v>
    <v>1</v>
    <v>331</v>
    <v>26</v>
    <v>Bandon, Oregon</v>
    <v>4</v>
    <v>5</v>
    <v>Map</v>
    <v>6</v>
    <v>7</v>
    <v>1496</v>
    <v>1541</v>
    <v>1542</v>
    <v>4</v>
    <v>Bandon is a city in Coos County, Oregon, United States, on the south side of the mouth of the Coquille River. It was named by George Bennet, an Irish peer, who settled nearby in 1873 and named the town after Bandon in Ireland, his hometown. The ...</v>
    <v>1543</v>
    <v>1544</v>
    <v>1546</v>
    <v>1547</v>
    <v>1548</v>
    <v>Bandon, Oregon</v>
    <v>1549</v>
    <v>44</v>
    <v>Bandon, Oregon</v>
    <v>mdp/vdpid/5047322718819581953</v>
  </rv>
  <rv s="0">
    <v>536870912</v>
    <v>Beaverton, Oregon</v>
    <v>061b90c4-a918-4f5c-9b50-c5f860c8571f</v>
    <v>en-US</v>
    <v>Map</v>
  </rv>
  <rv s="0">
    <v>536870912</v>
    <v>Washington County</v>
    <v>9516f9a9-9ff2-ed79-a1f6-878e9af3521f</v>
    <v>en-US</v>
    <v>Map</v>
  </rv>
  <rv s="1">
    <fb>50.563935999999998</fb>
    <v>8</v>
  </rv>
  <rv s="2">
    <v>155</v>
    <v>6</v>
    <v>332</v>
    <v>7</v>
    <v>0</v>
    <v>Image of Beaverton, Oregon</v>
  </rv>
  <rv s="1">
    <fb>45.486944444443999</fb>
    <v>9</v>
  </rv>
  <rv s="0">
    <v>805306368</v>
    <v>Lacey Beaty (Mayor)</v>
    <v>fb7e21e5-f907-d4bb-0484-8c2de3d7036e</v>
    <v>en-US</v>
    <v>Generic</v>
  </rv>
  <rv s="3">
    <v>127</v>
  </rv>
  <rv s="4">
    <v>https://www.bing.com/search?q=beaverton+oregon&amp;form=skydnc</v>
    <v>Learn more on Bing</v>
  </rv>
  <rv s="1">
    <fb>-122.80361111111</fb>
    <v>9</v>
  </rv>
  <rv s="1">
    <fb>97494</fb>
    <v>8</v>
  </rv>
  <rv s="8">
    <v>#VALUE!</v>
    <v>en-US</v>
    <v>061b90c4-a918-4f5c-9b50-c5f860c8571f</v>
    <v>536870912</v>
    <v>1</v>
    <v>333</v>
    <v>26</v>
    <v>Beaverton, Oregon</v>
    <v>4</v>
    <v>5</v>
    <v>Map</v>
    <v>6</v>
    <v>7</v>
    <v>1496</v>
    <v>1552</v>
    <v>1553</v>
    <v>4</v>
    <v>Beaverton is a city in Washington County, in the U.S. state of Oregon with a small portion bordering Portland in the Tualatin Valley. The city is among the main cities that make up the Portland metropolitan area. Its population was 97,494 at the ...</v>
    <v>1554</v>
    <v>1555</v>
    <v>1557</v>
    <v>1558</v>
    <v>1559</v>
    <v>Beaverton, Oregon</v>
    <v>1560</v>
    <v>44</v>
    <v>Beaverton, Oregon</v>
    <v>mdp/vdpid/4860903791655911425</v>
  </rv>
  <rv s="0">
    <v>536870912</v>
    <v>Bend, Oregon</v>
    <v>27597861-a23f-4b2a-ab95-e9900ade6b07</v>
    <v>en-US</v>
    <v>Map</v>
  </rv>
  <rv s="0">
    <v>536870912</v>
    <v>Deschutes County</v>
    <v>31efa7e9-2190-f657-759d-1911b8e0e5e8</v>
    <v>en-US</v>
    <v>Map</v>
  </rv>
  <rv s="1">
    <fb>86.144047</fb>
    <v>8</v>
  </rv>
  <rv s="2">
    <v>156</v>
    <v>6</v>
    <v>334</v>
    <v>7</v>
    <v>0</v>
    <v>Image of Bend, Oregon</v>
  </rv>
  <rv s="1">
    <fb>44.056388888889003</fb>
    <v>9</v>
  </rv>
  <rv s="0">
    <v>805306368</v>
    <v>Melanie Kebler (Mayor)</v>
    <v>0f475f4b-95b0-f2cd-37b1-98d9a5d65b4d</v>
    <v>en-US</v>
    <v>Generic</v>
  </rv>
  <rv s="3">
    <v>128</v>
  </rv>
  <rv s="4">
    <v>https://www.bing.com/search?q=bend+oregon&amp;form=skydnc</v>
    <v>Learn more on Bing</v>
  </rv>
  <rv s="1">
    <fb>-121.30805555556</fb>
    <v>9</v>
  </rv>
  <rv s="1">
    <fb>99178</fb>
    <v>8</v>
  </rv>
  <rv s="8">
    <v>#VALUE!</v>
    <v>en-US</v>
    <v>27597861-a23f-4b2a-ab95-e9900ade6b07</v>
    <v>536870912</v>
    <v>1</v>
    <v>335</v>
    <v>26</v>
    <v>Bend, Oregon</v>
    <v>4</v>
    <v>5</v>
    <v>Map</v>
    <v>6</v>
    <v>7</v>
    <v>1496</v>
    <v>1563</v>
    <v>1564</v>
    <v>4</v>
    <v>Bend is a city in and the county seat of Deschutes County, Oregon, United States. It is the principal city of the Bend Metropolitan Statistical Area. Bend is Central Oregon's most populous city, with a population of 99,178 at the time of the ...</v>
    <v>1565</v>
    <v>1566</v>
    <v>1568</v>
    <v>1569</v>
    <v>1570</v>
    <v>Bend, Oregon</v>
    <v>1571</v>
    <v>44</v>
    <v>Bend, Oregon</v>
    <v>mdp/vdpid/5053292659708264449</v>
  </rv>
  <rv s="0">
    <v>536870912</v>
    <v>Brookings, Oregon</v>
    <v>05eb629b-04de-9b2e-5d44-0b7211e9be72</v>
    <v>en-US</v>
    <v>Map</v>
  </rv>
  <rv s="0">
    <v>536870912</v>
    <v>Curry County</v>
    <v>8c5fc392-ece5-45ab-aaba-e8b03790dd33</v>
    <v>en-US</v>
    <v>Map</v>
  </rv>
  <rv s="1">
    <fb>10.193109</fb>
    <v>8</v>
  </rv>
  <rv s="2">
    <v>157</v>
    <v>6</v>
    <v>336</v>
    <v>7</v>
    <v>0</v>
    <v>Image of Brookings, Oregon</v>
  </rv>
  <rv s="1">
    <fb>42.057499999999997</fb>
    <v>9</v>
  </rv>
  <rv s="0">
    <v>805306368</v>
    <v>Ron Hedenskog (Mayor)</v>
    <v>237a66a4-104e-1578-d6cb-5cd59bae65ee</v>
    <v>en-US</v>
    <v>Generic</v>
  </rv>
  <rv s="3">
    <v>129</v>
  </rv>
  <rv s="4">
    <v>https://www.bing.com/search?q=brookings+oregon&amp;form=skydnc</v>
    <v>Learn more on Bing</v>
  </rv>
  <rv s="1">
    <fb>-124.28638888889</fb>
    <v>9</v>
  </rv>
  <rv s="1">
    <fb>6744</fb>
    <v>8</v>
  </rv>
  <rv s="8">
    <v>#VALUE!</v>
    <v>en-US</v>
    <v>05eb629b-04de-9b2e-5d44-0b7211e9be72</v>
    <v>536870912</v>
    <v>1</v>
    <v>337</v>
    <v>26</v>
    <v>Brookings, Oregon</v>
    <v>4</v>
    <v>5</v>
    <v>Map</v>
    <v>6</v>
    <v>7</v>
    <v>1496</v>
    <v>1574</v>
    <v>1575</v>
    <v>4</v>
    <v>Brookings is a city in Curry County, Oregon, United States. It was named after John E. Brookings, president of the Brookings Lumber and Box Company, which founded the city in 1908. As of the 2020 census, the population was 6,744.</v>
    <v>1576</v>
    <v>1577</v>
    <v>1579</v>
    <v>1580</v>
    <v>1581</v>
    <v>Brookings, Oregon</v>
    <v>1582</v>
    <v>44</v>
    <v>Brookings, Oregon</v>
    <v>mdp/vdpid/5048151745352433665</v>
  </rv>
  <rv s="0">
    <v>536870912</v>
    <v>Burns, Oregon</v>
    <v>397b7a5a-8dff-32e3-f28a-81916e5e9227</v>
    <v>en-US</v>
    <v>Map</v>
  </rv>
  <rv s="0">
    <v>536870912</v>
    <v>Harney County</v>
    <v>9293df6e-2848-64a6-bbce-16606fafdbef</v>
    <v>en-US</v>
    <v>Map</v>
  </rv>
  <rv s="1">
    <fb>9.2600239999999996</fb>
    <v>8</v>
  </rv>
  <rv s="2">
    <v>158</v>
    <v>6</v>
    <v>338</v>
    <v>7</v>
    <v>0</v>
    <v>Image of Burns, Oregon</v>
  </rv>
  <rv s="1">
    <fb>43.586260699999997</fb>
    <v>9</v>
  </rv>
  <rv s="0">
    <v>805306368</v>
    <v>Jerry Woodfin (Mayor)</v>
    <v>cc3820dc-b06a-c761-cc80-7140a7e299f7</v>
    <v>en-US</v>
    <v>Generic</v>
  </rv>
  <rv s="3">
    <v>130</v>
  </rv>
  <rv s="4">
    <v>https://www.bing.com/search?q=burns+oregon&amp;form=skydnc</v>
    <v>Learn more on Bing</v>
  </rv>
  <rv s="1">
    <fb>-119.0541032</fb>
    <v>9</v>
  </rv>
  <rv s="1">
    <fb>2730</fb>
    <v>8</v>
  </rv>
  <rv s="8">
    <v>#VALUE!</v>
    <v>en-US</v>
    <v>397b7a5a-8dff-32e3-f28a-81916e5e9227</v>
    <v>536870912</v>
    <v>1</v>
    <v>339</v>
    <v>26</v>
    <v>Burns, Oregon</v>
    <v>4</v>
    <v>5</v>
    <v>Map</v>
    <v>6</v>
    <v>7</v>
    <v>1496</v>
    <v>1585</v>
    <v>1586</v>
    <v>4</v>
    <v>Burns is a city in and the county seat of Harney County, in the U.S. state of Oregon. According to the 2010 census, the population was 2,806. Burns and the nearby city of Hines are home to about 60 percent of the people in the sparsely populated ...</v>
    <v>1587</v>
    <v>1588</v>
    <v>1590</v>
    <v>1591</v>
    <v>1592</v>
    <v>Burns, Oregon</v>
    <v>1593</v>
    <v>44</v>
    <v>Burns, Oregon</v>
    <v>mdp/vdpid/5054033353376792577</v>
  </rv>
  <rv s="0">
    <v>536870912</v>
    <v>Coos Bay, Oregon</v>
    <v>71c28f64-d3aa-74e6-7523-eb2f1cbe68d3</v>
    <v>en-US</v>
    <v>Map</v>
  </rv>
  <rv s="1">
    <fb>41.198965000000001</fb>
    <v>8</v>
  </rv>
  <rv s="2">
    <v>159</v>
    <v>6</v>
    <v>340</v>
    <v>7</v>
    <v>0</v>
    <v>Image of Coos Bay, Oregon</v>
  </rv>
  <rv s="1">
    <fb>43.376388888888997</fb>
    <v>9</v>
  </rv>
  <rv s="0">
    <v>805306368</v>
    <v>Joe Benetti (Mayor)</v>
    <v>a740afb1-5192-33b4-3534-78ff1ffa4a05</v>
    <v>en-US</v>
    <v>Generic</v>
  </rv>
  <rv s="3">
    <v>131</v>
  </rv>
  <rv s="4">
    <v>https://www.bing.com/search?q=coos+bay+oregon&amp;form=skydnc</v>
    <v>Learn more on Bing</v>
  </rv>
  <rv s="1">
    <fb>-124.23722222222</fb>
    <v>9</v>
  </rv>
  <rv s="1">
    <fb>15985</fb>
    <v>8</v>
  </rv>
  <rv s="8">
    <v>#VALUE!</v>
    <v>en-US</v>
    <v>71c28f64-d3aa-74e6-7523-eb2f1cbe68d3</v>
    <v>536870912</v>
    <v>1</v>
    <v>341</v>
    <v>26</v>
    <v>Coos Bay, Oregon</v>
    <v>4</v>
    <v>5</v>
    <v>Map</v>
    <v>6</v>
    <v>7</v>
    <v>1496</v>
    <v>1541</v>
    <v>1596</v>
    <v>4</v>
    <v>Coos Bay is a city located in Coos County, Oregon, United States, where the Coos River enters Coos Bay on the Pacific Ocean. The city borders the city of North Bend, and together they are often referred to as one entity called either Coos ...</v>
    <v>1597</v>
    <v>1598</v>
    <v>1600</v>
    <v>1601</v>
    <v>1602</v>
    <v>Coos Bay, Oregon</v>
    <v>1603</v>
    <v>44</v>
    <v>Coos Bay, Oregon</v>
    <v>mdp/vdpid/5047310767452323841</v>
  </rv>
  <rv s="0">
    <v>536870912</v>
    <v>Corvallis, Oregon</v>
    <v>d7061a0a-40c0-b041-0613-08881e24b78f</v>
    <v>en-US</v>
    <v>Map</v>
  </rv>
  <rv s="0">
    <v>536870912</v>
    <v>Benton County</v>
    <v>956adcde-dbe8-9838-1238-0d4556f48d7b</v>
    <v>en-US</v>
    <v>Map</v>
  </rv>
  <rv s="1">
    <fb>37.04</fb>
    <v>8</v>
  </rv>
  <rv s="2">
    <v>160</v>
    <v>6</v>
    <v>342</v>
    <v>7</v>
    <v>0</v>
    <v>Image of Corvallis, Oregon</v>
  </rv>
  <rv s="1">
    <fb>44.570780555555999</fb>
    <v>9</v>
  </rv>
  <rv s="0">
    <v>805306368</v>
    <v>Charles Maughan (Mayor)</v>
    <v>f6c1dcad-a3f8-a67e-aad4-784f98cb39ba</v>
    <v>en-US</v>
    <v>Generic</v>
  </rv>
  <rv s="3">
    <v>132</v>
  </rv>
  <rv s="4">
    <v>https://www.bing.com/search?q=corvallis+oregon&amp;form=skydnc</v>
    <v>Learn more on Bing</v>
  </rv>
  <rv s="1">
    <fb>-123.27599722222</fb>
    <v>9</v>
  </rv>
  <rv s="1">
    <fb>59922</fb>
    <v>8</v>
  </rv>
  <rv s="8">
    <v>#VALUE!</v>
    <v>en-US</v>
    <v>d7061a0a-40c0-b041-0613-08881e24b78f</v>
    <v>536870912</v>
    <v>1</v>
    <v>343</v>
    <v>26</v>
    <v>Corvallis, Oregon</v>
    <v>4</v>
    <v>5</v>
    <v>Map</v>
    <v>6</v>
    <v>7</v>
    <v>1496</v>
    <v>1606</v>
    <v>1607</v>
    <v>4</v>
    <v>Corvallis is a city and the seat of government of Benton County in central western Oregon, United States. It is the principal city of the Corvallis, Oregon Metropolitan Statistical Area, which encompasses all of Benton County. As of the 2020 ...</v>
    <v>1608</v>
    <v>1609</v>
    <v>1611</v>
    <v>1612</v>
    <v>1613</v>
    <v>Corvallis, Oregon</v>
    <v>1614</v>
    <v>44</v>
    <v>Corvallis, Oregon</v>
    <v>mdp/vdpid/5053066229753839617</v>
  </rv>
  <rv s="0">
    <v>536870912</v>
    <v>Eugene, Oregon</v>
    <v>4032220a-5e63-4fc1-87cf-eb758cc5b5b6</v>
    <v>en-US</v>
    <v>Map</v>
  </rv>
  <rv s="0">
    <v>536870912</v>
    <v>Lane County</v>
    <v>51444236-e956-9a37-a5a4-47b5511e19f9</v>
    <v>en-US</v>
    <v>Map</v>
  </rv>
  <rv s="1">
    <fb>114.33244999999999</fb>
    <v>8</v>
  </rv>
  <rv s="2">
    <v>161</v>
    <v>6</v>
    <v>344</v>
    <v>7</v>
    <v>0</v>
    <v>Image of Eugene, Oregon</v>
  </rv>
  <rv s="1">
    <fb>44.051944444443997</fb>
    <v>9</v>
  </rv>
  <rv s="0">
    <v>805306368</v>
    <v>Lucy Vinis (Mayor)</v>
    <v>bcedd08a-3a8e-3dbd-b7be-f08d873af297</v>
    <v>en-US</v>
    <v>Generic</v>
  </rv>
  <rv s="0">
    <v>805306368</v>
    <v>{]} (Mayor)</v>
    <v>ddd4c8fa-5cc1-f09a-981d-e3e9ff4ce375</v>
    <v>en-US</v>
    <v>Generic</v>
  </rv>
  <rv s="3">
    <v>133</v>
  </rv>
  <rv s="4">
    <v>https://www.bing.com/search?q=eugene+oregon&amp;form=skydnc</v>
    <v>Learn more on Bing</v>
  </rv>
  <rv s="1">
    <fb>-123.08555555556001</fb>
    <v>9</v>
  </rv>
  <rv s="1">
    <fb>176654</fb>
    <v>8</v>
  </rv>
  <rv s="8">
    <v>#VALUE!</v>
    <v>en-US</v>
    <v>4032220a-5e63-4fc1-87cf-eb758cc5b5b6</v>
    <v>536870912</v>
    <v>1</v>
    <v>345</v>
    <v>26</v>
    <v>Eugene, Oregon</v>
    <v>4</v>
    <v>5</v>
    <v>Map</v>
    <v>6</v>
    <v>7</v>
    <v>1496</v>
    <v>1617</v>
    <v>1618</v>
    <v>4</v>
    <v>Eugene is a city in and the county seat of Lane County, Oregon, United States. It is located at the southern end of the Willamette Valley, near the confluence of the McKenzie and Willamette rivers, about 50 miles east of the Oregon Coast.</v>
    <v>1619</v>
    <v>1620</v>
    <v>1623</v>
    <v>1624</v>
    <v>1625</v>
    <v>Eugene, Oregon</v>
    <v>1626</v>
    <v>44</v>
    <v>Eugene, Oregon</v>
    <v>mdp/vdpid/5053125603482402818</v>
  </rv>
  <rv s="0">
    <v>536870912</v>
    <v>Florence, Oregon</v>
    <v>4bbabeb4-b5dc-489f-e450-ee02c785c671</v>
    <v>en-US</v>
    <v>Map</v>
  </rv>
  <rv s="1">
    <fb>15.231856000000001</fb>
    <v>8</v>
  </rv>
  <rv s="2">
    <v>162</v>
    <v>6</v>
    <v>346</v>
    <v>7</v>
    <v>0</v>
    <v>Image of Florence, Oregon</v>
  </rv>
  <rv s="1">
    <fb>43.984166666667001</fb>
    <v>9</v>
  </rv>
  <rv s="0">
    <v>805306368</v>
    <v>Rob Ward (Mayor)</v>
    <v>b01964dd-bc02-7f9d-2061-4cdbb957c8e3</v>
    <v>en-US</v>
    <v>Generic</v>
  </rv>
  <rv s="3">
    <v>134</v>
  </rv>
  <rv s="4">
    <v>https://www.bing.com/search?q=florence+oregon&amp;form=skydnc</v>
    <v>Learn more on Bing</v>
  </rv>
  <rv s="1">
    <fb>-124.10305555556</fb>
    <v>9</v>
  </rv>
  <rv s="1">
    <fb>9396</fb>
    <v>8</v>
  </rv>
  <rv s="8">
    <v>#VALUE!</v>
    <v>en-US</v>
    <v>4bbabeb4-b5dc-489f-e450-ee02c785c671</v>
    <v>536870912</v>
    <v>1</v>
    <v>347</v>
    <v>26</v>
    <v>Florence, Oregon</v>
    <v>4</v>
    <v>5</v>
    <v>Map</v>
    <v>6</v>
    <v>7</v>
    <v>1496</v>
    <v>1617</v>
    <v>1629</v>
    <v>4</v>
    <v>Florence is a coastal city in Lane County, in the U.S. state of Oregon. It lies at the mouth of the Siuslaw River on the Pacific Ocean and about midway between Newport and Coos Bay along U.S. Route 101. As of the 2020 census, the city had a ...</v>
    <v>1630</v>
    <v>1631</v>
    <v>1633</v>
    <v>1634</v>
    <v>1635</v>
    <v>Florence, Oregon</v>
    <v>1636</v>
    <v>44</v>
    <v>Florence, Oregon</v>
    <v>mdp/vdpid/5047101335233626113</v>
  </rv>
  <rv s="0">
    <v>536870912</v>
    <v>Grants Pass, Oregon</v>
    <v>47bb7251-cd33-1698-b19a-33f06e796658</v>
    <v>en-US</v>
    <v>Map</v>
  </rv>
  <rv s="0">
    <v>536870912</v>
    <v>Josephine County</v>
    <v>41d59af0-51b8-64e8-1b43-d27e5f5b069a</v>
    <v>en-US</v>
    <v>Map</v>
  </rv>
  <rv s="1">
    <fb>30.042256999999999</fb>
    <v>8</v>
  </rv>
  <rv s="2">
    <v>163</v>
    <v>6</v>
    <v>348</v>
    <v>7</v>
    <v>0</v>
    <v>Image of Grants Pass, Oregon</v>
  </rv>
  <rv s="1">
    <fb>42.438888888888997</fb>
    <v>9</v>
  </rv>
  <rv s="0">
    <v>805306368</v>
    <v>Sara Bristol (Mayor)</v>
    <v>13707a43-e0d7-8b3d-ba8a-88974218c858</v>
    <v>en-US</v>
    <v>Generic</v>
  </rv>
  <rv s="3">
    <v>135</v>
  </rv>
  <rv s="4">
    <v>https://www.bing.com/search?q=grants+pass+oregon&amp;form=skydnc</v>
    <v>Learn more on Bing</v>
  </rv>
  <rv s="1">
    <fb>-123.32833333332999</fb>
    <v>9</v>
  </rv>
  <rv s="1">
    <fb>39189</fb>
    <v>8</v>
  </rv>
  <rv s="8">
    <v>#VALUE!</v>
    <v>en-US</v>
    <v>47bb7251-cd33-1698-b19a-33f06e796658</v>
    <v>536870912</v>
    <v>1</v>
    <v>349</v>
    <v>26</v>
    <v>Grants Pass, Oregon</v>
    <v>4</v>
    <v>5</v>
    <v>Map</v>
    <v>6</v>
    <v>7</v>
    <v>1496</v>
    <v>1639</v>
    <v>1640</v>
    <v>4</v>
    <v>Grants Pass is a city in and the county seat of Josephine County, Oregon, United States. The city is located on Interstate 5, northwest of Medford, along the Rogue River. The population is 39,194 according to the 2020 census, making it the 15th ...</v>
    <v>1641</v>
    <v>1642</v>
    <v>1644</v>
    <v>1645</v>
    <v>1646</v>
    <v>Grants Pass, Oregon</v>
    <v>1647</v>
    <v>44</v>
    <v>Grants Pass, Oregon</v>
    <v>mdp/vdpid/5053418135953080321</v>
  </rv>
  <rv s="0">
    <v>536870912</v>
    <v>Gresham, Oregon</v>
    <v>717b12dc-6069-4457-88ce-5ab81243b997</v>
    <v>en-US</v>
    <v>Map</v>
  </rv>
  <rv s="0">
    <v>536870912</v>
    <v>Multnomah County</v>
    <v>09a9dfb0-af26-d1d9-c818-43e2fdd19867</v>
    <v>en-US</v>
    <v>Map</v>
  </rv>
  <rv s="1">
    <fb>60.875746999999997</fb>
    <v>8</v>
  </rv>
  <rv s="2">
    <v>164</v>
    <v>6</v>
    <v>350</v>
    <v>7</v>
    <v>0</v>
    <v>Image of Gresham, Oregon</v>
  </rv>
  <rv s="1">
    <fb>45.503611111110999</fb>
    <v>9</v>
  </rv>
  <rv s="0">
    <v>805306368</v>
    <v>Travis Stovall (Mayor)</v>
    <v>1fc65fb5-b6a7-7480-2a19-4b985d2cf04b</v>
    <v>en-US</v>
    <v>Generic</v>
  </rv>
  <rv s="3">
    <v>136</v>
  </rv>
  <rv s="4">
    <v>https://www.bing.com/search?q=gresham+oregon&amp;form=skydnc</v>
    <v>Learn more on Bing</v>
  </rv>
  <rv s="1">
    <fb>-122.43944444444</fb>
    <v>9</v>
  </rv>
  <rv s="1">
    <fb>114247</fb>
    <v>8</v>
  </rv>
  <rv s="8">
    <v>#VALUE!</v>
    <v>en-US</v>
    <v>717b12dc-6069-4457-88ce-5ab81243b997</v>
    <v>536870912</v>
    <v>1</v>
    <v>351</v>
    <v>26</v>
    <v>Gresham, Oregon</v>
    <v>4</v>
    <v>5</v>
    <v>Map</v>
    <v>6</v>
    <v>7</v>
    <v>1496</v>
    <v>1650</v>
    <v>1651</v>
    <v>4</v>
    <v>Gresham is a city located in Multnomah County, Oregon, in the United States of America, immediately east of Portland. It is considered a suburb within the Greater Portland Metropolitan area. Though it began as a settlement in the mid-1800s, it ...</v>
    <v>1652</v>
    <v>1653</v>
    <v>1655</v>
    <v>1656</v>
    <v>1657</v>
    <v>Gresham, Oregon</v>
    <v>1658</v>
    <v>44</v>
    <v>Gresham, Oregon</v>
    <v>mdp/vdpid/4860912513543307265</v>
  </rv>
  <rv s="0">
    <v>536870912</v>
    <v>Hillsboro, Oregon</v>
    <v>8df03b87-2920-4121-8177-3128c3b4ce0c</v>
    <v>en-US</v>
    <v>Map</v>
  </rv>
  <rv s="1">
    <fb>64.738406999999995</fb>
    <v>8</v>
  </rv>
  <rv s="2">
    <v>165</v>
    <v>6</v>
    <v>352</v>
    <v>7</v>
    <v>0</v>
    <v>Image of Hillsboro, Oregon</v>
  </rv>
  <rv s="1">
    <fb>45.522777777777797</fb>
    <v>9</v>
  </rv>
  <rv s="0">
    <v>805306368</v>
    <v>Steve Callaway (Mayor)</v>
    <v>4bdc5ba0-8cf8-e6c2-0f48-1ce7a72d3281</v>
    <v>en-US</v>
    <v>Generic</v>
  </rv>
  <rv s="3">
    <v>137</v>
  </rv>
  <rv s="4">
    <v>https://www.bing.com/search?q=hillsboro+oregon&amp;form=skydnc</v>
    <v>Learn more on Bing</v>
  </rv>
  <rv s="1">
    <fb>-122.989722222222</fb>
    <v>9</v>
  </rv>
  <rv s="1">
    <fb>106447</fb>
    <v>8</v>
  </rv>
  <rv s="8">
    <v>#VALUE!</v>
    <v>en-US</v>
    <v>8df03b87-2920-4121-8177-3128c3b4ce0c</v>
    <v>536870912</v>
    <v>1</v>
    <v>353</v>
    <v>26</v>
    <v>Hillsboro, Oregon</v>
    <v>4</v>
    <v>5</v>
    <v>Map</v>
    <v>6</v>
    <v>7</v>
    <v>1496</v>
    <v>1552</v>
    <v>1661</v>
    <v>4</v>
    <v>Hillsboro is the 5th most populous city in the U.S. state of Oregon and is the county seat of Washington County. Situated in the Tualatin Valley on the west side of the Portland metropolitan area, the city hosts many high-technology companies, ...</v>
    <v>1662</v>
    <v>1663</v>
    <v>1665</v>
    <v>1666</v>
    <v>1667</v>
    <v>Hillsboro, Oregon</v>
    <v>1668</v>
    <v>44</v>
    <v>Hillsboro, Oregon</v>
    <v>mdp/vdpid/4860901484134400001</v>
  </rv>
  <rv s="0">
    <v>536870912</v>
    <v>Klamath Falls, Oregon</v>
    <v>90219759-d15b-bc89-6d68-7f5bac2156af</v>
    <v>en-US</v>
    <v>Map</v>
  </rv>
  <rv s="0">
    <v>536870912</v>
    <v>Klamath County</v>
    <v>1af6e437-1fe3-23d4-1299-8536b9396db7</v>
    <v>en-US</v>
    <v>Map</v>
  </rv>
  <rv s="1">
    <fb>53.51</fb>
    <v>8</v>
  </rv>
  <rv s="2">
    <v>166</v>
    <v>6</v>
    <v>354</v>
    <v>7</v>
    <v>0</v>
    <v>Image of Klamath Falls, Oregon</v>
  </rv>
  <rv s="1">
    <fb>42.223333333333002</fb>
    <v>9</v>
  </rv>
  <rv s="0">
    <v>805306368</v>
    <v>Carol Westfall (Mayor)</v>
    <v>d435abbb-9440-97aa-064a-426cb267ff8a</v>
    <v>en-US</v>
    <v>Generic</v>
  </rv>
  <rv s="3">
    <v>138</v>
  </rv>
  <rv s="4">
    <v>https://www.bing.com/search?q=klamath+falls+oregon&amp;form=skydnc</v>
    <v>Learn more on Bing</v>
  </rv>
  <rv s="1">
    <fb>-121.7775</fb>
    <v>9</v>
  </rv>
  <rv s="1">
    <fb>21813</fb>
    <v>8</v>
  </rv>
  <rv s="8">
    <v>#VALUE!</v>
    <v>en-US</v>
    <v>90219759-d15b-bc89-6d68-7f5bac2156af</v>
    <v>536870912</v>
    <v>1</v>
    <v>355</v>
    <v>26</v>
    <v>Klamath Falls, Oregon</v>
    <v>4</v>
    <v>5</v>
    <v>Map</v>
    <v>6</v>
    <v>7</v>
    <v>1496</v>
    <v>1671</v>
    <v>1672</v>
    <v>4</v>
    <v>Klamath Falls is a city in, and the county seat of, Klamath County, Oregon, United States. The city was originally called Linkville when George Nurse founded the town in 1867. It was named after the Link River, on whose falls the city was sited. ...</v>
    <v>1673</v>
    <v>1674</v>
    <v>1676</v>
    <v>1677</v>
    <v>1678</v>
    <v>Klamath Falls, Oregon</v>
    <v>1679</v>
    <v>44</v>
    <v>Klamath Falls, Oregon</v>
    <v>mdp/vdpid/5054316578787557377</v>
  </rv>
  <rv s="0">
    <v>536870912</v>
    <v>Lakeview, Oregon</v>
    <v>8d95da32-1263-55a3-2274-c2a9df745e06</v>
    <v>en-US</v>
    <v>Map</v>
  </rv>
  <rv s="0">
    <v>536870912</v>
    <v>Lake County</v>
    <v>6f2b6169-8729-594e-5606-669384debbc3</v>
    <v>en-US</v>
    <v>Map</v>
  </rv>
  <rv s="1">
    <fb>6.06</fb>
    <v>8</v>
  </rv>
  <rv s="2">
    <v>167</v>
    <v>6</v>
    <v>356</v>
    <v>7</v>
    <v>0</v>
    <v>Image of Lakeview, Oregon</v>
  </rv>
  <rv s="1">
    <fb>42.188888888888997</fb>
    <v>9</v>
  </rv>
  <rv s="0">
    <v>805306368</v>
    <v>Ray Turner (Mayor)</v>
    <v>8d353a83-588b-09d7-af1c-b11782164ae4</v>
    <v>en-US</v>
    <v>Generic</v>
  </rv>
  <rv s="3">
    <v>139</v>
  </rv>
  <rv s="4">
    <v>https://www.bing.com/search?q=lakeview+oregon&amp;form=skydnc</v>
    <v>Learn more on Bing</v>
  </rv>
  <rv s="1">
    <fb>-120.34583333333001</fb>
    <v>9</v>
  </rv>
  <rv s="1">
    <fb>2418</fb>
    <v>8</v>
  </rv>
  <rv s="8">
    <v>#VALUE!</v>
    <v>en-US</v>
    <v>8d95da32-1263-55a3-2274-c2a9df745e06</v>
    <v>536870912</v>
    <v>1</v>
    <v>357</v>
    <v>26</v>
    <v>Lakeview, Oregon</v>
    <v>4</v>
    <v>5</v>
    <v>Map</v>
    <v>6</v>
    <v>7</v>
    <v>1496</v>
    <v>1682</v>
    <v>1683</v>
    <v>4</v>
    <v>Lakeview is a town in Lake County, Oregon, United States. The population was 2,418 at the 2020 census. It is the county seat of Lake County. The city bills itself as the "Tallest Town in Oregon" because of its elevation, 4,757 feet above sea ...</v>
    <v>1684</v>
    <v>1685</v>
    <v>1687</v>
    <v>1688</v>
    <v>1689</v>
    <v>Lakeview, Oregon</v>
    <v>1690</v>
    <v>44</v>
    <v>Lakeview, Oregon</v>
    <v>mdp/vdpid/5054738683811332097</v>
  </rv>
  <rv s="0">
    <v>536870912</v>
    <v>Lincoln City, Oregon</v>
    <v>5f9db557-6655-58a0-4343-1abceabdbc2a</v>
    <v>en-US</v>
    <v>Map</v>
  </rv>
  <rv s="0">
    <v>536870912</v>
    <v>Lincoln County</v>
    <v>60d35867-234c-459f-f4ca-b2c03f96448f</v>
    <v>en-US</v>
    <v>Map</v>
  </rv>
  <rv s="1">
    <fb>15.771876000000001</fb>
    <v>8</v>
  </rv>
  <rv s="2">
    <v>168</v>
    <v>6</v>
    <v>358</v>
    <v>7</v>
    <v>0</v>
    <v>Image of Lincoln City, Oregon</v>
  </rv>
  <rv s="1">
    <fb>44.961388888888997</fb>
    <v>9</v>
  </rv>
  <rv s="0">
    <v>805306368</v>
    <v>Susan Wahlke (Mayor)</v>
    <v>d8521a7c-0ee5-d068-fb98-86cac1f206b5</v>
    <v>en-US</v>
    <v>Generic</v>
  </rv>
  <rv s="3">
    <v>140</v>
  </rv>
  <rv s="4">
    <v>https://www.bing.com/search?q=lincoln+city+oregon&amp;form=skydnc</v>
    <v>Learn more on Bing</v>
  </rv>
  <rv s="1">
    <fb>-124.01555555556</fb>
    <v>9</v>
  </rv>
  <rv s="1">
    <fb>9815</fb>
    <v>8</v>
  </rv>
  <rv s="5">
    <v>#VALUE!</v>
    <v>en-US</v>
    <v>5f9db557-6655-58a0-4343-1abceabdbc2a</v>
    <v>536870912</v>
    <v>1</v>
    <v>359</v>
    <v>2</v>
    <v>Lincoln City, Oregon</v>
    <v>4</v>
    <v>5</v>
    <v>Map</v>
    <v>6</v>
    <v>7</v>
    <v>1496</v>
    <v>1693</v>
    <v>1694</v>
    <v>4</v>
    <v>Lincoln City is a city in Lincoln County on the Oregon Coast of the United States, between Tillamook and Newport. It is named after the county, which was named in honor of former U.S. President Abraham Lincoln. The population was 9,815 at the ...</v>
    <v>1695</v>
    <v>1696</v>
    <v>1698</v>
    <v>1699</v>
    <v>1700</v>
    <v>Lincoln City, Oregon</v>
    <v>1701</v>
    <v>Lincoln City, Oregon</v>
    <v>mdp/vdpid/5047031699066585089</v>
  </rv>
  <rv s="0">
    <v>536870912</v>
    <v>Medford, Oregon</v>
    <v>f7853167-1d84-468b-a98b-fcb1b3f2de20</v>
    <v>en-US</v>
    <v>Map</v>
  </rv>
  <rv s="1">
    <fb>66.739329999999995</fb>
    <v>8</v>
  </rv>
  <rv s="2">
    <v>169</v>
    <v>6</v>
    <v>360</v>
    <v>7</v>
    <v>0</v>
    <v>Image of Medford, Oregon</v>
  </rv>
  <rv s="1">
    <fb>42.331940000000003</fb>
    <v>9</v>
  </rv>
  <rv s="0">
    <v>805306368</v>
    <v>Randy Sparacino (Mayor)</v>
    <v>8f9206b1-1829-1b83-0506-88814155cd06</v>
    <v>en-US</v>
    <v>Generic</v>
  </rv>
  <rv s="3">
    <v>141</v>
  </rv>
  <rv s="4">
    <v>https://www.bing.com/search?q=medford+oregon&amp;form=skydnc</v>
    <v>Learn more on Bing</v>
  </rv>
  <rv s="1">
    <fb>-122.86167</fb>
    <v>9</v>
  </rv>
  <rv s="1">
    <fb>85824</fb>
    <v>8</v>
  </rv>
  <rv s="8">
    <v>#VALUE!</v>
    <v>en-US</v>
    <v>f7853167-1d84-468b-a98b-fcb1b3f2de20</v>
    <v>536870912</v>
    <v>1</v>
    <v>361</v>
    <v>26</v>
    <v>Medford, Oregon</v>
    <v>4</v>
    <v>5</v>
    <v>Map</v>
    <v>6</v>
    <v>7</v>
    <v>1496</v>
    <v>1508</v>
    <v>1704</v>
    <v>4</v>
    <v>Medford is a city in and the county seat of Jackson County, Oregon, in the United States. As of the 2020 United States Census on April 1, 2020, the city had a total population of 85,824, making it the 8th most populous city in Oregon, and a ...</v>
    <v>1705</v>
    <v>1706</v>
    <v>1708</v>
    <v>1709</v>
    <v>1710</v>
    <v>Medford, Oregon</v>
    <v>1711</v>
    <v>44</v>
    <v>Medford, Oregon</v>
    <v>mdp/vdpid/5053448617403088897</v>
  </rv>
  <rv s="0">
    <v>536870912</v>
    <v>Newport, Oregon</v>
    <v>18b51fbc-45e2-6484-af8f-59ff4a5b56b6</v>
    <v>en-US</v>
    <v>Map</v>
  </rv>
  <rv s="1">
    <fb>27.16309</fb>
    <v>8</v>
  </rv>
  <rv s="2">
    <v>170</v>
    <v>6</v>
    <v>362</v>
    <v>7</v>
    <v>0</v>
    <v>Image of Newport, Oregon</v>
  </rv>
  <rv s="1">
    <fb>44.636666666666997</fb>
    <v>9</v>
  </rv>
  <rv s="0">
    <v>805306368</v>
    <v>Jan Kaplan (Mayor)</v>
    <v>8925af23-a4a2-7de5-0712-5ab371ec6b06</v>
    <v>en-US</v>
    <v>Generic</v>
  </rv>
  <rv s="3">
    <v>142</v>
  </rv>
  <rv s="4">
    <v>https://www.bing.com/search?q=newport+oregon&amp;form=skydnc</v>
    <v>Learn more on Bing</v>
  </rv>
  <rv s="1">
    <fb>-124.05333333333</fb>
    <v>9</v>
  </rv>
  <rv s="1">
    <fb>10256</fb>
    <v>8</v>
  </rv>
  <rv s="8">
    <v>#VALUE!</v>
    <v>en-US</v>
    <v>18b51fbc-45e2-6484-af8f-59ff4a5b56b6</v>
    <v>536870912</v>
    <v>1</v>
    <v>363</v>
    <v>26</v>
    <v>Newport, Oregon</v>
    <v>4</v>
    <v>5</v>
    <v>Map</v>
    <v>6</v>
    <v>7</v>
    <v>1496</v>
    <v>1693</v>
    <v>1714</v>
    <v>4</v>
    <v>Newport is a city in Lincoln County, Oregon, United States. It was incorporated in 1882, though the name dates back to the establishment of a post office in 1868. Newport was named for Newport, Rhode Island. As of the 2010 census, the city had a ...</v>
    <v>1715</v>
    <v>1716</v>
    <v>1718</v>
    <v>1719</v>
    <v>1720</v>
    <v>Newport, Oregon</v>
    <v>1721</v>
    <v>44</v>
    <v>Newport, Oregon</v>
    <v>mdp/vdpid/5047048974398128129</v>
  </rv>
  <rv s="0">
    <v>536870912</v>
    <v>Ontario, Oregon</v>
    <v>228ec681-ad33-a3b3-bdd9-a430ddaf27e6</v>
    <v>en-US</v>
    <v>Map</v>
  </rv>
  <rv s="0">
    <v>536870912</v>
    <v>Malheur County</v>
    <v>52ffb498-3662-5411-d411-3ee96ca70278</v>
    <v>en-US</v>
    <v>Map</v>
  </rv>
  <rv s="1">
    <fb>13.378615999999999</fb>
    <v>8</v>
  </rv>
  <rv s="2">
    <v>171</v>
    <v>6</v>
    <v>364</v>
    <v>7</v>
    <v>0</v>
    <v>Image of Ontario, Oregon</v>
  </rv>
  <rv s="1">
    <fb>44.026944444443998</fb>
    <v>9</v>
  </rv>
  <rv s="0">
    <v>805306368</v>
    <v>Deborah Folden (Mayor)</v>
    <v>d92f4b7c-94e3-72fe-6d6b-b7bf54758cae</v>
    <v>en-US</v>
    <v>Generic</v>
  </rv>
  <rv s="3">
    <v>143</v>
  </rv>
  <rv s="4">
    <v>https://www.bing.com/search?q=ontario+oregon&amp;form=skydnc</v>
    <v>Learn more on Bing</v>
  </rv>
  <rv s="1">
    <fb>-116.96861111110999</fb>
    <v>9</v>
  </rv>
  <rv s="1">
    <fb>11645</fb>
    <v>8</v>
  </rv>
  <rv s="3">
    <v>144</v>
  </rv>
  <rv s="8">
    <v>#VALUE!</v>
    <v>en-US</v>
    <v>228ec681-ad33-a3b3-bdd9-a430ddaf27e6</v>
    <v>536870912</v>
    <v>1</v>
    <v>365</v>
    <v>26</v>
    <v>Ontario, Oregon</v>
    <v>4</v>
    <v>5</v>
    <v>Map</v>
    <v>6</v>
    <v>7</v>
    <v>1496</v>
    <v>1724</v>
    <v>1725</v>
    <v>4</v>
    <v>Ontario is the largest city in Malheur County, Oregon, United States. It lies along the Snake River at the Idaho border. The population was 11,366 at the 2010 census. The city is the largest community in the region of far eastern Oregon, also ...</v>
    <v>1726</v>
    <v>1727</v>
    <v>1729</v>
    <v>1730</v>
    <v>1731</v>
    <v>Ontario, Oregon</v>
    <v>1732</v>
    <v>1733</v>
    <v>Ontario, Oregon</v>
    <v>mdp/vdpid/5055411142646562817</v>
  </rv>
  <rv s="0">
    <v>536870912</v>
    <v>Portland, Oregon</v>
    <v>5658ef8a-9267-4851-b335-72bc82329a4e</v>
    <v>en-US</v>
    <v>Map</v>
  </rv>
  <rv s="1">
    <fb>375.80552599999999</fb>
    <v>8</v>
  </rv>
  <rv s="2">
    <v>172</v>
    <v>6</v>
    <v>366</v>
    <v>7</v>
    <v>0</v>
    <v>Image of Portland, Oregon</v>
  </rv>
  <rv s="1">
    <fb>45.516666666667</fb>
    <v>9</v>
  </rv>
  <rv s="0">
    <v>805306368</v>
    <v>Ted Wheeler (Mayor)</v>
    <v>34b77850-843b-6f6f-af63-18a8f8bdc38c</v>
    <v>en-US</v>
    <v>Generic</v>
  </rv>
  <rv s="3">
    <v>145</v>
  </rv>
  <rv s="4">
    <v>https://www.bing.com/search?q=portland+oregon&amp;form=skydnc</v>
    <v>Learn more on Bing</v>
  </rv>
  <rv s="1">
    <fb>-122.66666666667</fb>
    <v>9</v>
  </rv>
  <rv s="1">
    <fb>652503</fb>
    <v>8</v>
  </rv>
  <rv s="8">
    <v>#VALUE!</v>
    <v>en-US</v>
    <v>5658ef8a-9267-4851-b335-72bc82329a4e</v>
    <v>536870912</v>
    <v>1</v>
    <v>367</v>
    <v>26</v>
    <v>Portland, Oregon</v>
    <v>4</v>
    <v>5</v>
    <v>Map</v>
    <v>6</v>
    <v>7</v>
    <v>1496</v>
    <v>1650</v>
    <v>1736</v>
    <v>4</v>
    <v>Portland is a port city in the Pacific Northwest and the most populous city in the U.S. state of Oregon. Situated in the northwestern area of the state at the confluence of the Willamette and Columbia rivers, Portland is the county seat of ...</v>
    <v>1737</v>
    <v>1738</v>
    <v>1740</v>
    <v>1741</v>
    <v>1742</v>
    <v>Portland, Oregon</v>
    <v>1743</v>
    <v>44</v>
    <v>Portland, Oregon</v>
    <v>mdp/vdpid/4860910142754914306</v>
  </rv>
  <rv s="0">
    <v>536870912</v>
    <v>Roseburg, Oregon</v>
    <v>383b79c1-cd28-8484-0be8-b90da1413dd3</v>
    <v>en-US</v>
    <v>Map</v>
  </rv>
  <rv s="0">
    <v>536870912</v>
    <v>Douglas County</v>
    <v>0e1171a3-f375-321c-bc12-e44c73775cc3</v>
    <v>en-US</v>
    <v>Map</v>
  </rv>
  <rv s="1">
    <fb>27.610143000000001</fb>
    <v>8</v>
  </rv>
  <rv s="2">
    <v>173</v>
    <v>6</v>
    <v>368</v>
    <v>7</v>
    <v>0</v>
    <v>Image of Roseburg, Oregon</v>
  </rv>
  <rv s="1">
    <fb>43.218055555555999</fb>
    <v>9</v>
  </rv>
  <rv s="0">
    <v>805306368</v>
    <v>Larry Rich (Mayor)</v>
    <v>3b13de11-191c-86ec-39b2-14b5440455c2</v>
    <v>en-US</v>
    <v>Generic</v>
  </rv>
  <rv s="3">
    <v>146</v>
  </rv>
  <rv s="4">
    <v>https://www.bing.com/search?q=roseburg+oregon&amp;form=skydnc</v>
    <v>Learn more on Bing</v>
  </rv>
  <rv s="1">
    <fb>-123.35611111111</fb>
    <v>9</v>
  </rv>
  <rv s="1">
    <fb>23683</fb>
    <v>8</v>
  </rv>
  <rv s="5">
    <v>#VALUE!</v>
    <v>en-US</v>
    <v>383b79c1-cd28-8484-0be8-b90da1413dd3</v>
    <v>536870912</v>
    <v>1</v>
    <v>369</v>
    <v>2</v>
    <v>Roseburg, Oregon</v>
    <v>4</v>
    <v>5</v>
    <v>Map</v>
    <v>6</v>
    <v>7</v>
    <v>1496</v>
    <v>1746</v>
    <v>1747</v>
    <v>4</v>
    <v>Roseburg is a city in the U.S. state of Oregon. It is in the Umpqua River Valley in southern Oregon and is the county seat and most populous city of Douglas County. Founded in 1851, the population was 23,683 at the 2020 census, making it the ...</v>
    <v>1748</v>
    <v>1749</v>
    <v>1751</v>
    <v>1752</v>
    <v>1753</v>
    <v>Roseburg, Oregon</v>
    <v>1754</v>
    <v>Roseburg, Oregon</v>
    <v>mdp/vdpid/5053346740745273345</v>
  </rv>
  <rv s="0">
    <v>536870912</v>
    <v>Salem, Oregon</v>
    <v>181e3c46-a4b5-41c5-a74f-486f15e8dc58</v>
    <v>en-US</v>
    <v>Map</v>
  </rv>
  <rv s="0">
    <v>536870912</v>
    <v>Polk County</v>
    <v>3fb83cfb-40be-aefa-5fb9-42c5d8ddfec9</v>
    <v>en-US</v>
    <v>Map</v>
  </rv>
  <rv s="1">
    <fb>127.22089200000001</fb>
    <v>8</v>
  </rv>
  <rv s="2">
    <v>174</v>
    <v>6</v>
    <v>370</v>
    <v>7</v>
    <v>0</v>
    <v>Image of Salem, Oregon</v>
  </rv>
  <rv s="1">
    <fb>44.930833333332998</fb>
    <v>9</v>
  </rv>
  <rv s="0">
    <v>805306368</v>
    <v>Chris Hoy (Mayor)</v>
    <v>f8f43abb-a02e-82c0-3fd6-6349f88f1725</v>
    <v>en-US</v>
    <v>Generic</v>
  </rv>
  <rv s="3">
    <v>147</v>
  </rv>
  <rv s="4">
    <v>https://www.bing.com/search?q=salem+oregon&amp;form=skydnc</v>
    <v>Learn more on Bing</v>
  </rv>
  <rv s="1">
    <fb>-123.02888888888999</fb>
    <v>9</v>
  </rv>
  <rv s="1">
    <fb>175535</fb>
    <v>8</v>
  </rv>
  <rv s="8">
    <v>#VALUE!</v>
    <v>en-US</v>
    <v>181e3c46-a4b5-41c5-a74f-486f15e8dc58</v>
    <v>536870912</v>
    <v>1</v>
    <v>371</v>
    <v>26</v>
    <v>Salem, Oregon</v>
    <v>4</v>
    <v>5</v>
    <v>Map</v>
    <v>6</v>
    <v>7</v>
    <v>1496</v>
    <v>1757</v>
    <v>1758</v>
    <v>4</v>
    <v>Salem is the capital city of the U.S. state of Oregon, and the county seat of Marion County. It is located in the center of the Willamette Valley alongside the Willamette River, which runs north through the city. The river forms the boundary ...</v>
    <v>1759</v>
    <v>1760</v>
    <v>1762</v>
    <v>1763</v>
    <v>1764</v>
    <v>Salem, Oregon</v>
    <v>1765</v>
    <v>44</v>
    <v>Salem, Oregon</v>
    <v>mdp/vdpid/5053074332494856193</v>
  </rv>
  <rv s="0">
    <v>536870912</v>
    <v>Austin, Nevada</v>
    <v>4492559a-3cd9-e952-299f-c23be14ca7b1</v>
    <v>en-US</v>
    <v>Map</v>
  </rv>
  <rv s="0">
    <v>536870912</v>
    <v>Nevada</v>
    <v>c2157d7e-617e-4517-80f8-1b08113afc14</v>
    <v>en-US</v>
    <v>Map</v>
  </rv>
  <rv s="0">
    <v>536870912</v>
    <v>Lander County</v>
    <v>755a25a6-c941-bded-4b3e-71b2210a1c9b</v>
    <v>en-US</v>
    <v>Map</v>
  </rv>
  <rv s="1">
    <fb>2.9</fb>
    <v>8</v>
  </rv>
  <rv s="2">
    <v>175</v>
    <v>6</v>
    <v>372</v>
    <v>7</v>
    <v>0</v>
    <v>Image of Austin, Nevada</v>
  </rv>
  <rv s="1">
    <fb>39.491944444444002</fb>
    <v>9</v>
  </rv>
  <rv s="4">
    <v>https://www.bing.com/search?q=austin+nevada&amp;form=skydnc</v>
    <v>Learn more on Bing</v>
  </rv>
  <rv s="1">
    <fb>-117.07027777778001</fb>
    <v>9</v>
  </rv>
  <rv s="1">
    <fb>167</fb>
    <v>8</v>
  </rv>
  <rv s="6">
    <v>#VALUE!</v>
    <v>en-US</v>
    <v>4492559a-3cd9-e952-299f-c23be14ca7b1</v>
    <v>536870912</v>
    <v>1</v>
    <v>373</v>
    <v>16</v>
    <v>Austin, Nevada</v>
    <v>4</v>
    <v>5</v>
    <v>Map</v>
    <v>6</v>
    <v>7</v>
    <v>1768</v>
    <v>1769</v>
    <v>1770</v>
    <v>4</v>
    <v>Austin is an unincorporated small town in, and former county seat of, Lander County, Nevada, United States. In 2020, the census-designated place of Austin had a population of 167. It is located on the western slopes of the Toiyabe Range at an ...</v>
    <v>1771</v>
    <v>1772</v>
    <v>1773</v>
    <v>1774</v>
    <v>Austin, Nevada</v>
    <v>1775</v>
    <v>44</v>
    <v>Austin, Nevada</v>
    <v>mdp/vdpid/5056828714369679361</v>
  </rv>
  <rv s="0">
    <v>536870912</v>
    <v>Battle Mountain, Nevada</v>
    <v>da9190e9-91ee-7aca-6150-5793c092aed9</v>
    <v>en-US</v>
    <v>Map</v>
  </rv>
  <rv s="1">
    <fb>9.2420059999999999</fb>
    <v>8</v>
  </rv>
  <rv s="2">
    <v>176</v>
    <v>6</v>
    <v>374</v>
    <v>7</v>
    <v>0</v>
    <v>Image of Battle Mountain, Nevada</v>
  </rv>
  <rv s="1">
    <fb>40.639444444444003</fb>
    <v>9</v>
  </rv>
  <rv s="4">
    <v>https://www.bing.com/search?q=battle+mountain+nevada&amp;form=skydnc</v>
    <v>Learn more on Bing</v>
  </rv>
  <rv s="1">
    <fb>-116.93722222222</fb>
    <v>9</v>
  </rv>
  <rv s="1">
    <fb>3705</fb>
    <v>8</v>
  </rv>
  <rv s="9">
    <v>#VALUE!</v>
    <v>en-US</v>
    <v>da9190e9-91ee-7aca-6150-5793c092aed9</v>
    <v>536870912</v>
    <v>1</v>
    <v>375</v>
    <v>61</v>
    <v>Battle Mountain, Nevada</v>
    <v>4</v>
    <v>5</v>
    <v>Map</v>
    <v>6</v>
    <v>7</v>
    <v>1768</v>
    <v>1769</v>
    <v>1778</v>
    <v>4</v>
    <v>Battle Mountain is an unincorporated town in and the county seat of Lander County, Nevada, United States. The population was 3,635 at the 2010 census. Its primary economic base is gold mining and, to a lesser extent, legalized gambling.</v>
    <v>1779</v>
    <v>1780</v>
    <v>1781</v>
    <v>1782</v>
    <v>Battle Mountain, Nevada</v>
    <v>1783</v>
    <v>Battle Mountain, Nevada</v>
    <v>mdp/vdpid/5056744017648156673</v>
  </rv>
  <rv s="0">
    <v>536870912</v>
    <v>Carlin, Nevada</v>
    <v>c5e9d495-6cac-5516-15c6-46f42643a96d</v>
    <v>en-US</v>
    <v>Map</v>
  </rv>
  <rv s="1">
    <fb>27.045255000000001</fb>
    <v>8</v>
  </rv>
  <rv s="2">
    <v>177</v>
    <v>6</v>
    <v>376</v>
    <v>7</v>
    <v>0</v>
    <v>Image of Carlin, Nevada</v>
  </rv>
  <rv s="1">
    <fb>40.714185999999998</fb>
    <v>9</v>
  </rv>
  <rv s="0">
    <v>805306368</v>
    <v>Dana Holbrook (Mayor)</v>
    <v>7b63df57-fb67-00bc-e86b-f93dfa14c729</v>
    <v>en-US</v>
    <v>Generic</v>
  </rv>
  <rv s="3">
    <v>148</v>
  </rv>
  <rv s="4">
    <v>https://www.bing.com/search?q=carlin+nevada&amp;form=skydnc</v>
    <v>Learn more on Bing</v>
  </rv>
  <rv s="1">
    <fb>-116.11312700000001</fb>
    <v>9</v>
  </rv>
  <rv s="1">
    <fb>2050</fb>
    <v>8</v>
  </rv>
  <rv s="14">
    <v>#VALUE!</v>
    <v>en-US</v>
    <v>c5e9d495-6cac-5516-15c6-46f42643a96d</v>
    <v>536870912</v>
    <v>1</v>
    <v>377</v>
    <v>378</v>
    <v>Carlin, Nevada</v>
    <v>4</v>
    <v>5</v>
    <v>Map</v>
    <v>6</v>
    <v>7</v>
    <v>1768</v>
    <v>1786</v>
    <v>4</v>
    <v>Carlin is a small city located near the western border of Elko County in northeast Nevada, 23 miles west of the city of Elko. It is part of the Elko Micropolitan Statistical Area. Carlin sits along Interstate 80 at an elevation of approximately ...</v>
    <v>1787</v>
    <v>1788</v>
    <v>1790</v>
    <v>1791</v>
    <v>1792</v>
    <v>Carlin, Nevada</v>
    <v>1793</v>
    <v>Carlin, Nevada</v>
    <v>mdp/vdpid/5056850949012717569</v>
  </rv>
  <rv s="0">
    <v>536870912</v>
    <v>Carson City, Nevada</v>
    <v>f0c7f70e-d0c0-8645-b649-8550dc083057</v>
    <v>en-US</v>
    <v>Map</v>
  </rv>
  <rv s="1">
    <fb>407.25709000000001</fb>
    <v>8</v>
  </rv>
  <rv s="2">
    <v>178</v>
    <v>6</v>
    <v>379</v>
    <v>7</v>
    <v>0</v>
    <v>Image of Carson City, Nevada</v>
  </rv>
  <rv s="1">
    <fb>39.160833333333002</fb>
    <v>9</v>
  </rv>
  <rv s="0">
    <v>805306368</v>
    <v>Lori Bagwell (Mayor)</v>
    <v>5e8b2522-7ccf-495d-d5c9-cbec00d531f1</v>
    <v>en-US</v>
    <v>Generic</v>
  </rv>
  <rv s="3">
    <v>149</v>
  </rv>
  <rv s="4">
    <v>https://www.bing.com/search?q=carson+city+nevada&amp;form=skydnc</v>
    <v>Learn more on Bing</v>
  </rv>
  <rv s="1">
    <fb>-119.75388888889</fb>
    <v>9</v>
  </rv>
  <rv s="1">
    <fb>58639</fb>
    <v>8</v>
  </rv>
  <rv s="14">
    <v>#VALUE!</v>
    <v>en-US</v>
    <v>f0c7f70e-d0c0-8645-b649-8550dc083057</v>
    <v>536870912</v>
    <v>1</v>
    <v>380</v>
    <v>378</v>
    <v>Carson City, Nevada</v>
    <v>4</v>
    <v>5</v>
    <v>Map</v>
    <v>6</v>
    <v>7</v>
    <v>1768</v>
    <v>1796</v>
    <v>4</v>
    <v>Carson City is an independent city and the capital of the U.S. state of Nevada. As of the 2020 census, the population was 58,639, making it the 6th most populous city in the state. The majority of the city's population lives in Eagle Valley, on ...</v>
    <v>1797</v>
    <v>1798</v>
    <v>1800</v>
    <v>1801</v>
    <v>1802</v>
    <v>Carson City, Nevada</v>
    <v>1803</v>
    <v>Carson City, Nevada</v>
    <v>mdp/vdpid/5058154391576510466</v>
  </rv>
  <rv s="0">
    <v>536870912</v>
    <v>Elko, Nevada</v>
    <v>82529074-36cb-dc94-cd91-0d69b939ff27</v>
    <v>en-US</v>
    <v>Map</v>
  </rv>
  <rv s="0">
    <v>536870912</v>
    <v>Elko County</v>
    <v>b951f2a5-87cd-45bd-fece-3dbb718a73fc</v>
    <v>en-US</v>
    <v>Map</v>
  </rv>
  <rv s="1">
    <fb>46.262337000000002</fb>
    <v>8</v>
  </rv>
  <rv s="2">
    <v>179</v>
    <v>6</v>
    <v>381</v>
    <v>7</v>
    <v>0</v>
    <v>Image of Elko, Nevada</v>
  </rv>
  <rv s="1">
    <fb>40.832472222222201</fb>
    <v>9</v>
  </rv>
  <rv s="0">
    <v>805306368</v>
    <v>Reece Keener (Mayor)</v>
    <v>6a965216-ddce-544e-5dca-6cdc53e09c7c</v>
    <v>en-US</v>
    <v>Generic</v>
  </rv>
  <rv s="3">
    <v>150</v>
  </rv>
  <rv s="4">
    <v>https://www.bing.com/search?q=elko+nevada&amp;form=skydnc</v>
    <v>Learn more on Bing</v>
  </rv>
  <rv s="1">
    <fb>-115.763166666667</fb>
    <v>9</v>
  </rv>
  <rv s="1">
    <fb>20564</fb>
    <v>8</v>
  </rv>
  <rv s="5">
    <v>#VALUE!</v>
    <v>en-US</v>
    <v>82529074-36cb-dc94-cd91-0d69b939ff27</v>
    <v>536870912</v>
    <v>1</v>
    <v>382</v>
    <v>2</v>
    <v>Elko, Nevada</v>
    <v>4</v>
    <v>5</v>
    <v>Map</v>
    <v>6</v>
    <v>7</v>
    <v>1768</v>
    <v>1806</v>
    <v>1807</v>
    <v>4</v>
    <v>Elko is the largest city in and county seat of Elko County, Nevada, United States. With a 2020 population of 20,564, Elko is currently growing at a rate of 0.31% annually and its population has increased by 11.86% since the 2010 Census, which ...</v>
    <v>1808</v>
    <v>1809</v>
    <v>1811</v>
    <v>1812</v>
    <v>1813</v>
    <v>Elko, Nevada</v>
    <v>1814</v>
    <v>Elko, Nevada</v>
    <v>mdp/vdpid/5056688358764314625</v>
  </rv>
  <rv s="0">
    <v>536870912</v>
    <v>Ely, Nevada</v>
    <v>c142ea82-3192-f340-d508-7c8c6a1245e6</v>
    <v>en-US</v>
    <v>Map</v>
  </rv>
  <rv s="0">
    <v>536870912</v>
    <v>White Pine County</v>
    <v>2e9033b0-e4b8-2f8d-8841-8c34a267dae6</v>
    <v>en-US</v>
    <v>Map</v>
  </rv>
  <rv s="1">
    <fb>19.770289999999999</fb>
    <v>8</v>
  </rv>
  <rv s="2">
    <v>180</v>
    <v>6</v>
    <v>383</v>
    <v>7</v>
    <v>0</v>
    <v>Image of Ely, Nevada</v>
  </rv>
  <rv s="1">
    <fb>39.253333333333003</fb>
    <v>9</v>
  </rv>
  <rv s="0">
    <v>805306368</v>
    <v>Nathan Robertson (Mayor)</v>
    <v>dadf8628-9071-2c5c-3ba4-4ed3fe5c66c7</v>
    <v>en-US</v>
    <v>Generic</v>
  </rv>
  <rv s="3">
    <v>151</v>
  </rv>
  <rv s="4">
    <v>https://www.bing.com/search?q=ely+nevada&amp;form=skydnc</v>
    <v>Learn more on Bing</v>
  </rv>
  <rv s="1">
    <fb>-114.87722222222</fb>
    <v>9</v>
  </rv>
  <rv s="1">
    <fb>3924</fb>
    <v>8</v>
  </rv>
  <rv s="5">
    <v>#VALUE!</v>
    <v>en-US</v>
    <v>c142ea82-3192-f340-d508-7c8c6a1245e6</v>
    <v>536870912</v>
    <v>1</v>
    <v>384</v>
    <v>2</v>
    <v>Ely, Nevada</v>
    <v>4</v>
    <v>5</v>
    <v>Map</v>
    <v>6</v>
    <v>7</v>
    <v>1768</v>
    <v>1817</v>
    <v>1818</v>
    <v>4</v>
    <v>Ely is the largest city and county seat of White Pine County, Nevada, United States. Ely was founded as a stagecoach station along the Pony Express and Central Overland Route. In 1906 copper was discovered. Ely's mining boom came later than the ...</v>
    <v>1819</v>
    <v>1820</v>
    <v>1822</v>
    <v>1823</v>
    <v>1824</v>
    <v>Ely, Nevada</v>
    <v>1825</v>
    <v>Ely, Nevada</v>
    <v>mdp/vdpid/5060367296132808705</v>
  </rv>
  <rv s="0">
    <v>536870912</v>
    <v>Eureka, Nevada</v>
    <v>da33e10f-9d5e-e69a-f3d3-95fef66514cc</v>
    <v>en-US</v>
    <v>Map</v>
  </rv>
  <rv s="0">
    <v>536870912</v>
    <v>Eureka County</v>
    <v>e7821c0b-602e-cc9a-dc8e-692e68321b5f</v>
    <v>en-US</v>
    <v>Map</v>
  </rv>
  <rv s="1">
    <fb>3.6236839999999999</fb>
    <v>8</v>
  </rv>
  <rv s="2">
    <v>181</v>
    <v>6</v>
    <v>385</v>
    <v>7</v>
    <v>0</v>
    <v>Image of Eureka, Nevada</v>
  </rv>
  <rv s="1">
    <fb>39.511699999999998</fb>
    <v>9</v>
  </rv>
  <rv s="4">
    <v>https://www.bing.com/search?q=yreka+nevada&amp;form=skydnc</v>
    <v>Learn more on Bing</v>
  </rv>
  <rv s="1">
    <fb>-115.962</fb>
    <v>9</v>
  </rv>
  <rv s="1">
    <fb>414</fb>
    <v>8</v>
  </rv>
  <rv s="9">
    <v>#VALUE!</v>
    <v>en-US</v>
    <v>da33e10f-9d5e-e69a-f3d3-95fef66514cc</v>
    <v>536870912</v>
    <v>1</v>
    <v>386</v>
    <v>61</v>
    <v>Eureka, Nevada</v>
    <v>4</v>
    <v>5</v>
    <v>Map</v>
    <v>6</v>
    <v>7</v>
    <v>1768</v>
    <v>1828</v>
    <v>1829</v>
    <v>4</v>
    <v>Eureka is an unincorporated town and census-designated place in and the county seat of Eureka County, Nevada, United States. With a population of 480 as of the 2018 American Community Survey 5-Year Estimates, it is by far the largest community ...</v>
    <v>1830</v>
    <v>1831</v>
    <v>1832</v>
    <v>1833</v>
    <v>Eureka, Nevada</v>
    <v>1834</v>
    <v>Eureka, Nevada</v>
    <v>mdp/vdpid/5056966465261928449</v>
  </rv>
  <rv s="0">
    <v>536870912</v>
    <v>Fallon, Nevada</v>
    <v>c642fb83-6eca-7c10-a260-38a4a5e8b386</v>
    <v>en-US</v>
    <v>Map</v>
  </rv>
  <rv s="0">
    <v>536870912</v>
    <v>Churchill County</v>
    <v>93044d57-fd1e-343e-d2cc-a74696e0acde</v>
    <v>en-US</v>
    <v>Map</v>
  </rv>
  <rv s="1">
    <fb>9.4745989999999995</fb>
    <v>8</v>
  </rv>
  <rv s="2">
    <v>182</v>
    <v>6</v>
    <v>387</v>
    <v>7</v>
    <v>0</v>
    <v>Image of Fallon, Nevada</v>
  </rv>
  <rv s="1">
    <fb>39.472799999999999</fb>
    <v>9</v>
  </rv>
  <rv s="0">
    <v>805306368</v>
    <v>Ken Tedford (Mayor)</v>
    <v>fb3027d9-d613-aea1-18a7-57c6dda9262f</v>
    <v>en-US</v>
    <v>Generic</v>
  </rv>
  <rv s="3">
    <v>152</v>
  </rv>
  <rv s="4">
    <v>https://www.bing.com/search?q=fallon+nevada&amp;form=skydnc</v>
    <v>Learn more on Bing</v>
  </rv>
  <rv s="1">
    <fb>-118.779</fb>
    <v>9</v>
  </rv>
  <rv s="1">
    <fb>9327</fb>
    <v>8</v>
  </rv>
  <rv s="8">
    <v>#VALUE!</v>
    <v>en-US</v>
    <v>c642fb83-6eca-7c10-a260-38a4a5e8b386</v>
    <v>536870912</v>
    <v>1</v>
    <v>388</v>
    <v>26</v>
    <v>Fallon, Nevada</v>
    <v>4</v>
    <v>5</v>
    <v>Map</v>
    <v>6</v>
    <v>7</v>
    <v>1768</v>
    <v>1837</v>
    <v>1838</v>
    <v>4</v>
    <v>Fallon is a city in Churchill County in the U.S. state of Nevada. The population was 9,327 at time of the 2020 census. Fallon is the county seat of Churchill County and is located in the Lahontan Valley.</v>
    <v>1839</v>
    <v>1840</v>
    <v>1842</v>
    <v>1843</v>
    <v>1844</v>
    <v>Fallon, Nevada</v>
    <v>1845</v>
    <v>44</v>
    <v>Fallon, Nevada</v>
    <v>mdp/vdpid/5055277787619786753</v>
  </rv>
  <rv s="0">
    <v>536870912</v>
    <v>Fernley, Nevada</v>
    <v>907fb53d-7731-876c-ab86-b8a9cc0a448f</v>
    <v>en-US</v>
    <v>Map</v>
  </rv>
  <rv s="0">
    <v>536870912</v>
    <v>Lyon County</v>
    <v>c81f2d9e-5816-7efa-5a6b-64fbae92c2f5</v>
    <v>en-US</v>
    <v>Map</v>
  </rv>
  <rv s="1">
    <fb>334.92535099999998</fb>
    <v>8</v>
  </rv>
  <rv s="2">
    <v>183</v>
    <v>6</v>
    <v>389</v>
    <v>7</v>
    <v>0</v>
    <v>Image of Fernley, Nevada</v>
  </rv>
  <rv s="1">
    <fb>39.6048055555556</fb>
    <v>9</v>
  </rv>
  <rv s="0">
    <v>805306368</v>
    <v>Neal McIntyre (Mayor)</v>
    <v>670ed966-9050-1e55-ac9c-5476fcc2bfd6</v>
    <v>en-US</v>
    <v>Generic</v>
  </rv>
  <rv s="3">
    <v>153</v>
  </rv>
  <rv s="4">
    <v>https://www.bing.com/search?q=fernley+nevada&amp;form=skydnc</v>
    <v>Learn more on Bing</v>
  </rv>
  <rv s="1">
    <fb>-119.240472222222</fb>
    <v>9</v>
  </rv>
  <rv s="1">
    <fb>22895</fb>
    <v>8</v>
  </rv>
  <rv s="5">
    <v>#VALUE!</v>
    <v>en-US</v>
    <v>907fb53d-7731-876c-ab86-b8a9cc0a448f</v>
    <v>536870912</v>
    <v>1</v>
    <v>390</v>
    <v>2</v>
    <v>Fernley, Nevada</v>
    <v>4</v>
    <v>5</v>
    <v>Map</v>
    <v>6</v>
    <v>7</v>
    <v>1768</v>
    <v>1848</v>
    <v>1849</v>
    <v>4</v>
    <v>Fernley is a city in Lyon County, Nevada, United States, and part of the Reno–Tahoe-Sparks metropolitan area CSA. The city was incorporated in 2001. The population of the city was 22,895 at the 2020 census, making it the 7th most populous city ...</v>
    <v>1850</v>
    <v>1851</v>
    <v>1853</v>
    <v>1854</v>
    <v>1855</v>
    <v>Fernley, Nevada</v>
    <v>1856</v>
    <v>Fernley, Nevada</v>
    <v>mdp/vdpid/5055241741301448705</v>
  </rv>
  <rv s="0">
    <v>536870912</v>
    <v>Henderson, Nevada</v>
    <v>6e0baad9-081d-4f37-bacb-849a3bf4f18f</v>
    <v>en-US</v>
    <v>Map</v>
  </rv>
  <rv s="0">
    <v>536870912</v>
    <v>Clark County</v>
    <v>3fe79fff-e771-c744-de67-4224eba7c2fd</v>
    <v>en-US</v>
    <v>Map</v>
  </rv>
  <rv s="1">
    <fb>272.43329199999999</fb>
    <v>8</v>
  </rv>
  <rv s="2">
    <v>184</v>
    <v>6</v>
    <v>391</v>
    <v>7</v>
    <v>0</v>
    <v>Image of Henderson, Nevada</v>
  </rv>
  <rv s="1">
    <fb>36.031666666667</fb>
    <v>9</v>
  </rv>
  <rv s="0">
    <v>805306368</v>
    <v>Michelle Romero (Mayor)</v>
    <v>bd58e347-4db6-e527-a896-99bde7d12542</v>
    <v>en-US</v>
    <v>Generic</v>
  </rv>
  <rv s="3">
    <v>154</v>
  </rv>
  <rv s="4">
    <v>https://www.bing.com/search?q=henderson+nevada&amp;form=skydnc</v>
    <v>Learn more on Bing</v>
  </rv>
  <rv s="1">
    <fb>-114.98138888889</fb>
    <v>9</v>
  </rv>
  <rv s="1">
    <fb>317610</fb>
    <v>8</v>
  </rv>
  <rv s="5">
    <v>#VALUE!</v>
    <v>en-US</v>
    <v>6e0baad9-081d-4f37-bacb-849a3bf4f18f</v>
    <v>536870912</v>
    <v>1</v>
    <v>392</v>
    <v>2</v>
    <v>Henderson, Nevada</v>
    <v>4</v>
    <v>5</v>
    <v>Map</v>
    <v>6</v>
    <v>7</v>
    <v>1768</v>
    <v>1859</v>
    <v>1860</v>
    <v>4</v>
    <v>Henderson is a city in Clark County, Nevada, United States, about 16 miles southeast of downtown Las Vegas. It is the 2nd most populous city in Nevada, after Las Vegas, with an estimated population of 320,189 in 2019. The city is part of the Las ...</v>
    <v>1861</v>
    <v>1862</v>
    <v>1864</v>
    <v>1865</v>
    <v>1866</v>
    <v>Henderson, Nevada</v>
    <v>1867</v>
    <v>Henderson, Nevada</v>
    <v>mdp/vdpid/5061507963194179585</v>
  </rv>
  <rv s="0">
    <v>536870912</v>
    <v>Lund, Nevada</v>
    <v>64002229-8ed0-d913-9c16-f2602644f313</v>
    <v>en-US</v>
    <v>Map</v>
  </rv>
  <rv s="1">
    <fb>4.3915740000000003</fb>
    <v>8</v>
  </rv>
  <rv s="2">
    <v>185</v>
    <v>6</v>
    <v>393</v>
    <v>7</v>
    <v>0</v>
    <v>Image of Lund, Nevada</v>
  </rv>
  <rv s="1">
    <fb>38.856111111110998</fb>
    <v>9</v>
  </rv>
  <rv s="4">
    <v>https://www.bing.com/search?q=lund+nevada&amp;form=skydnc</v>
    <v>Learn more on Bing</v>
  </rv>
  <rv s="1">
    <fb>-115.00611111111</fb>
    <v>9</v>
  </rv>
  <rv s="1">
    <fb>211</fb>
    <v>8</v>
  </rv>
  <rv s="9">
    <v>#VALUE!</v>
    <v>en-US</v>
    <v>64002229-8ed0-d913-9c16-f2602644f313</v>
    <v>536870912</v>
    <v>1</v>
    <v>394</v>
    <v>61</v>
    <v>Lund, Nevada</v>
    <v>4</v>
    <v>5</v>
    <v>Map</v>
    <v>6</v>
    <v>7</v>
    <v>1768</v>
    <v>1817</v>
    <v>1870</v>
    <v>4</v>
    <v>Lund is a small town and census-designated place in White Pine County, Nevada, United States. The population of Lund as of 2020 was 211.</v>
    <v>1871</v>
    <v>1872</v>
    <v>1873</v>
    <v>1874</v>
    <v>Lund, Nevada</v>
    <v>1875</v>
    <v>Lund, Nevada</v>
    <v>mdp/vdpid/5060378969384157185</v>
  </rv>
  <rv s="0">
    <v>536870912</v>
    <v>North Las Vegas, Nevada</v>
    <v>f5214b60-6b78-41d6-ae4a-ae165f4bae0a</v>
    <v>en-US</v>
    <v>Map</v>
  </rv>
  <rv s="1">
    <fb>262.43539600000003</fb>
    <v>8</v>
  </rv>
  <rv s="2">
    <v>186</v>
    <v>6</v>
    <v>395</v>
    <v>7</v>
    <v>0</v>
    <v>Image of North Las Vegas, Nevada</v>
  </rv>
  <rv s="1">
    <fb>36.200583333333299</fb>
    <v>9</v>
  </rv>
  <rv s="0">
    <v>805306368</v>
    <v>Pamela Goynes-Brown (Mayor)</v>
    <v>a67349ad-9eed-f731-89af-ca90293e02f7</v>
    <v>en-US</v>
    <v>Generic</v>
  </rv>
  <rv s="3">
    <v>155</v>
  </rv>
  <rv s="4">
    <v>https://www.bing.com/search?q=north+las+vegas+nevada&amp;form=skydnc</v>
    <v>Learn more on Bing</v>
  </rv>
  <rv s="1">
    <fb>-115.12158333333301</fb>
    <v>9</v>
  </rv>
  <rv s="1">
    <fb>262527</fb>
    <v>8</v>
  </rv>
  <rv s="5">
    <v>#VALUE!</v>
    <v>en-US</v>
    <v>f5214b60-6b78-41d6-ae4a-ae165f4bae0a</v>
    <v>536870912</v>
    <v>1</v>
    <v>396</v>
    <v>2</v>
    <v>North Las Vegas, Nevada</v>
    <v>4</v>
    <v>5</v>
    <v>Map</v>
    <v>6</v>
    <v>7</v>
    <v>1768</v>
    <v>1859</v>
    <v>1878</v>
    <v>4</v>
    <v>North Las Vegas is a suburban city in Clark County, Nevada, United States, in the Las Vegas Valley. As of the 2020 census it had a population of 262,527, with an estimated population of 280,543 in 2022. The city was incorporated on May 1, 1946. ...</v>
    <v>1879</v>
    <v>1880</v>
    <v>1882</v>
    <v>1883</v>
    <v>1884</v>
    <v>North Las Vegas, Nevada</v>
    <v>1885</v>
    <v>North Las Vegas, Nevada</v>
    <v>mdp/vdpid/5061502849448411137</v>
  </rv>
  <rv s="0">
    <v>536870912</v>
    <v>Pahrump, Nevada</v>
    <v>060aba61-99cf-1ed5-6106-96c788dcb25b</v>
    <v>en-US</v>
    <v>Map</v>
  </rv>
  <rv s="0">
    <v>536870912</v>
    <v>Nye County</v>
    <v>a081759f-fb23-263e-2101-c67a39c92cd7</v>
    <v>en-US</v>
    <v>Map</v>
  </rv>
  <rv s="1">
    <fb>781.83876499999997</fb>
    <v>8</v>
  </rv>
  <rv s="2">
    <v>187</v>
    <v>6</v>
    <v>397</v>
    <v>7</v>
    <v>0</v>
    <v>Image of Pahrump, Nevada</v>
  </rv>
  <rv s="1">
    <fb>36.208611111110997</fb>
    <v>9</v>
  </rv>
  <rv s="3">
    <v>156</v>
  </rv>
  <rv s="4">
    <v>https://www.bing.com/search?q=pahrump+nevada&amp;form=skydnc</v>
    <v>Learn more on Bing</v>
  </rv>
  <rv s="1">
    <fb>-116.01194444444</fb>
    <v>9</v>
  </rv>
  <rv s="1">
    <fb>44738</fb>
    <v>8</v>
  </rv>
  <rv s="5">
    <v>#VALUE!</v>
    <v>en-US</v>
    <v>060aba61-99cf-1ed5-6106-96c788dcb25b</v>
    <v>536870912</v>
    <v>1</v>
    <v>398</v>
    <v>2</v>
    <v>Pahrump, Nevada</v>
    <v>4</v>
    <v>5</v>
    <v>Map</v>
    <v>6</v>
    <v>7</v>
    <v>1768</v>
    <v>1888</v>
    <v>1889</v>
    <v>4</v>
    <v>Pahrump is an unincorporated town located at the southernmost tip of Nye County, Nevada, United States, about 62 miles west of Las Vegas. Pahrump lies adjacent to the Nevada–California border and the area had a population of 44,738 as of the ...</v>
    <v>1890</v>
    <v>1891</v>
    <v>1892</v>
    <v>1893</v>
    <v>1894</v>
    <v>Pahrump, Nevada</v>
    <v>1895</v>
    <v>Pahrump, Nevada</v>
    <v>mdp/vdpid/5061101898044538881</v>
  </rv>
  <rv s="0">
    <v>536870912</v>
    <v>Paradise, Nevada</v>
    <v>fe5c1fd7-1f34-a03f-8a23-ffae38e247e2</v>
    <v>en-US</v>
    <v>Map</v>
  </rv>
  <rv s="0">
    <v>536870912</v>
    <v>Las Vegas</v>
    <v>26dfb75a-3573-4ff8-bbb3-b8cadaea23a8</v>
    <v>en-US</v>
    <v>Map</v>
  </rv>
  <rv s="1">
    <fb>121.03488400000001</fb>
    <v>8</v>
  </rv>
  <rv s="2">
    <v>188</v>
    <v>6</v>
    <v>399</v>
    <v>7</v>
    <v>0</v>
    <v>Image of Paradise, Nevada</v>
  </rv>
  <rv s="1">
    <fb>36.081944444443998</fb>
    <v>9</v>
  </rv>
  <rv s="4">
    <v>https://www.bing.com/search?q=paradise+nevada&amp;form=skydnc</v>
    <v>Learn more on Bing</v>
  </rv>
  <rv s="1">
    <fb>-115.12472222222</fb>
    <v>9</v>
  </rv>
  <rv s="1">
    <fb>191238</fb>
    <v>8</v>
  </rv>
  <rv s="9">
    <v>#VALUE!</v>
    <v>en-US</v>
    <v>fe5c1fd7-1f34-a03f-8a23-ffae38e247e2</v>
    <v>536870912</v>
    <v>1</v>
    <v>400</v>
    <v>61</v>
    <v>Paradise, Nevada</v>
    <v>4</v>
    <v>5</v>
    <v>Map</v>
    <v>6</v>
    <v>7</v>
    <v>1859</v>
    <v>1898</v>
    <v>1899</v>
    <v>4</v>
    <v>Paradise is an unincorporated town and census-designated place in Clark County, Nevada, United States, adjacent to the city of Las Vegas. It was formed on December 8, 1950. Its population was 191,238 at the 2020 census, making it the ...</v>
    <v>1900</v>
    <v>1901</v>
    <v>1902</v>
    <v>1903</v>
    <v>Paradise, Nevada</v>
    <v>1904</v>
    <v>Paradise, Nevada</v>
    <v>mdp/vdpid/5061504023283105793</v>
  </rv>
  <rv s="0">
    <v>536870912</v>
    <v>Reno, Nevada</v>
    <v>7436d6eb-b810-4e6f-9f57-13ebabf58d79</v>
    <v>en-US</v>
    <v>Map</v>
  </rv>
  <rv s="0">
    <v>536870912</v>
    <v>Washoe County</v>
    <v>0916e2b2-7580-9827-52ea-8d81d7f11af7</v>
    <v>en-US</v>
    <v>Map</v>
  </rv>
  <rv s="1">
    <fb>285.26819999999998</fb>
    <v>8</v>
  </rv>
  <rv s="2">
    <v>189</v>
    <v>6</v>
    <v>401</v>
    <v>7</v>
    <v>0</v>
    <v>Image of Reno, Nevada</v>
  </rv>
  <rv s="1">
    <fb>39.526111111111099</fb>
    <v>9</v>
  </rv>
  <rv s="0">
    <v>805306368</v>
    <v>Hillary Schieve (Mayor)</v>
    <v>f36224ec-2aaa-a846-3bc7-53246e8fbc0c</v>
    <v>en-US</v>
    <v>Generic</v>
  </rv>
  <rv s="3">
    <v>157</v>
  </rv>
  <rv s="4">
    <v>https://www.bing.com/search?q=reno+nevada&amp;form=skydnc</v>
    <v>Learn more on Bing</v>
  </rv>
  <rv s="1">
    <fb>-119.812666666667</fb>
    <v>9</v>
  </rv>
  <rv s="1">
    <fb>264165</fb>
    <v>8</v>
  </rv>
  <rv s="8">
    <v>#VALUE!</v>
    <v>en-US</v>
    <v>7436d6eb-b810-4e6f-9f57-13ebabf58d79</v>
    <v>536870912</v>
    <v>1</v>
    <v>402</v>
    <v>26</v>
    <v>Reno, Nevada</v>
    <v>4</v>
    <v>5</v>
    <v>Map</v>
    <v>6</v>
    <v>7</v>
    <v>1768</v>
    <v>1907</v>
    <v>1908</v>
    <v>4</v>
    <v>Reno is a city in the northwest section of the U.S. state of Nevada, along the Nevada-California border, about 22 miles north from Lake Tahoe, known as "The Biggest Little City in the World". Known for its casino and tourism industry, Reno is ...</v>
    <v>1909</v>
    <v>1910</v>
    <v>1912</v>
    <v>1913</v>
    <v>1914</v>
    <v>Reno, Nevada</v>
    <v>1915</v>
    <v>44</v>
    <v>Reno, Nevada</v>
    <v>mdp/vdpid/5055145709188153345</v>
  </rv>
  <rv s="0">
    <v>536870912</v>
    <v>Sparks, Nevada</v>
    <v>d9588c33-8ecc-4907-b4cb-b0277ecc8b20</v>
    <v>en-US</v>
    <v>Map</v>
  </rv>
  <rv s="1">
    <fb>94.112724999999998</fb>
    <v>8</v>
  </rv>
  <rv s="2">
    <v>190</v>
    <v>6</v>
    <v>403</v>
    <v>7</v>
    <v>0</v>
    <v>Image of Sparks, Nevada</v>
  </rv>
  <rv s="1">
    <fb>39.540472222222199</fb>
    <v>9</v>
  </rv>
  <rv s="0">
    <v>805306368</v>
    <v>Ed Lawson (Mayor)</v>
    <v>ca53acb0-5610-1a28-470f-85b25a526aa1</v>
    <v>en-US</v>
    <v>Generic</v>
  </rv>
  <rv s="3">
    <v>158</v>
  </rv>
  <rv s="4">
    <v>https://www.bing.com/search?q=sparks+nevada&amp;form=skydnc</v>
    <v>Learn more on Bing</v>
  </rv>
  <rv s="1">
    <fb>-119.748722222222</fb>
    <v>9</v>
  </rv>
  <rv s="1">
    <fb>108445</fb>
    <v>8</v>
  </rv>
  <rv s="5">
    <v>#VALUE!</v>
    <v>en-US</v>
    <v>d9588c33-8ecc-4907-b4cb-b0277ecc8b20</v>
    <v>536870912</v>
    <v>1</v>
    <v>404</v>
    <v>2</v>
    <v>Sparks, Nevada</v>
    <v>4</v>
    <v>5</v>
    <v>Map</v>
    <v>6</v>
    <v>7</v>
    <v>1768</v>
    <v>1907</v>
    <v>1918</v>
    <v>4</v>
    <v>Sparks is a city in Washoe County, Nevada, United States. It was founded in 1904, incorporated on March 15, 1905, and is located just east of Reno. The 2020 U.S. Census counted 108,445 residents in the city. It is the fifth most populous city in ...</v>
    <v>1919</v>
    <v>1920</v>
    <v>1922</v>
    <v>1923</v>
    <v>1924</v>
    <v>Sparks, Nevada</v>
    <v>1925</v>
    <v>Sparks, Nevada</v>
    <v>mdp/vdpid/5055146153213952001</v>
  </rv>
  <rv s="0">
    <v>536870912</v>
    <v>Spring Valley, Nevada</v>
    <v>57645de9-124f-3ddb-4c8d-9e98df531a84</v>
    <v>en-US</v>
    <v>Map</v>
  </rv>
  <rv s="1">
    <fb>86.125946999999996</fb>
    <v>8</v>
  </rv>
  <rv s="2">
    <v>191</v>
    <v>6</v>
    <v>405</v>
    <v>7</v>
    <v>0</v>
    <v>Image of Spring Valley, Nevada</v>
  </rv>
  <rv s="1">
    <fb>36.112499999999997</fb>
    <v>9</v>
  </rv>
  <rv s="4">
    <v>https://www.bing.com/search?q=spring+valley+nevada&amp;form=skydnc</v>
    <v>Learn more on Bing</v>
  </rv>
  <rv s="1">
    <fb>-115.25027777778</fb>
    <v>9</v>
  </rv>
  <rv s="1">
    <fb>215597</fb>
    <v>8</v>
  </rv>
  <rv s="3">
    <v>159</v>
  </rv>
  <rv s="6">
    <v>#VALUE!</v>
    <v>en-US</v>
    <v>57645de9-124f-3ddb-4c8d-9e98df531a84</v>
    <v>536870912</v>
    <v>1</v>
    <v>406</v>
    <v>16</v>
    <v>Spring Valley, Nevada</v>
    <v>4</v>
    <v>5</v>
    <v>Map</v>
    <v>6</v>
    <v>7</v>
    <v>1768</v>
    <v>1859</v>
    <v>1928</v>
    <v>4</v>
    <v>Spring Valley is an unincorporated town and census-designated place in Clark County, Nevada, United States, located 2 miles west of the Las Vegas Strip. The population was 215,597 at the 2020 census. Spring Valley was formed in May 1981.</v>
    <v>1929</v>
    <v>1930</v>
    <v>1931</v>
    <v>1932</v>
    <v>Spring Valley, Nevada</v>
    <v>1933</v>
    <v>1934</v>
    <v>Spring Valley, Nevada</v>
    <v>mdp/vdpid/5061501926651199489</v>
  </rv>
  <rv s="0">
    <v>536870912</v>
    <v>Tonopah, Nevada</v>
    <v>07a0264c-4f26-c81f-174d-cf04a116978a</v>
    <v>en-US</v>
    <v>Map</v>
  </rv>
  <rv s="1">
    <fb>42.072017000000002</fb>
    <v>8</v>
  </rv>
  <rv s="2">
    <v>192</v>
    <v>6</v>
    <v>407</v>
    <v>7</v>
    <v>0</v>
    <v>Image of Tonopah, Nevada</v>
  </rv>
  <rv s="1">
    <fb>38.067222222222</fb>
    <v>9</v>
  </rv>
  <rv s="4">
    <v>https://www.bing.com/search?q=tonopah+nevada&amp;form=skydnc</v>
    <v>Learn more on Bing</v>
  </rv>
  <rv s="1">
    <fb>-117.23</fb>
    <v>9</v>
  </rv>
  <rv s="1">
    <fb>2179</fb>
    <v>8</v>
  </rv>
  <rv s="9">
    <v>#VALUE!</v>
    <v>en-US</v>
    <v>07a0264c-4f26-c81f-174d-cf04a116978a</v>
    <v>536870912</v>
    <v>1</v>
    <v>408</v>
    <v>61</v>
    <v>Tonopah, Nevada</v>
    <v>4</v>
    <v>5</v>
    <v>Map</v>
    <v>6</v>
    <v>7</v>
    <v>1768</v>
    <v>1888</v>
    <v>1937</v>
    <v>4</v>
    <v>Tonopah is an unincorporated town in, and the county seat of, Nye County, Nevada, United States. Nicknamed the Queen of the Silver Camps for its mining-rich history, it is now primarily a tourism-based resort city, notable for attractions like ...</v>
    <v>1938</v>
    <v>1939</v>
    <v>1940</v>
    <v>1941</v>
    <v>Tonopah, Nevada</v>
    <v>1942</v>
    <v>Tonopah, Nevada</v>
    <v>mdp/vdpid/5059924290741207041</v>
  </rv>
  <rv s="0">
    <v>536870912</v>
    <v>Winnemucca, Nevada</v>
    <v>dc5ace46-c428-16aa-5c3c-56e51002d94f</v>
    <v>en-US</v>
    <v>Map</v>
  </rv>
  <rv s="0">
    <v>536870912</v>
    <v>Humboldt County</v>
    <v>ba5ddc76-b294-2820-adf2-33fcb3d3192d</v>
    <v>en-US</v>
    <v>Map</v>
  </rv>
  <rv s="1">
    <fb>25.344318000000001</fb>
    <v>8</v>
  </rv>
  <rv s="2">
    <v>193</v>
    <v>6</v>
    <v>409</v>
    <v>7</v>
    <v>0</v>
    <v>Image of Winnemucca, Nevada</v>
  </rv>
  <rv s="1">
    <fb>40.968333333333</fb>
    <v>9</v>
  </rv>
  <rv s="0">
    <v>805306368</v>
    <v>Rich Stone (Mayor)</v>
    <v>00b09755-6f34-772e-a99e-cbe9717d1b30</v>
    <v>en-US</v>
    <v>Generic</v>
  </rv>
  <rv s="3">
    <v>160</v>
  </rv>
  <rv s="4">
    <v>https://www.bing.com/search?q=winnemucca+nevada&amp;form=skydnc</v>
    <v>Learn more on Bing</v>
  </rv>
  <rv s="1">
    <fb>-117.72666666667</fb>
    <v>9</v>
  </rv>
  <rv s="1">
    <fb>8431</fb>
    <v>8</v>
  </rv>
  <rv s="8">
    <v>#VALUE!</v>
    <v>en-US</v>
    <v>dc5ace46-c428-16aa-5c3c-56e51002d94f</v>
    <v>536870912</v>
    <v>1</v>
    <v>410</v>
    <v>26</v>
    <v>Winnemucca, Nevada</v>
    <v>4</v>
    <v>5</v>
    <v>Map</v>
    <v>6</v>
    <v>7</v>
    <v>1768</v>
    <v>1945</v>
    <v>1946</v>
    <v>4</v>
    <v>Winnemucca is the only incorporated city in, and is the county seat of, Humboldt County, Nevada, United States. As of the 2020 census, the city had a total population of 8,431, up 14.0 percent from the 2010 census figure of 7,396. Interstate 80 ...</v>
    <v>1947</v>
    <v>1948</v>
    <v>1950</v>
    <v>1951</v>
    <v>1952</v>
    <v>Winnemucca, Nevada</v>
    <v>1953</v>
    <v>44</v>
    <v>Winnemucca, Nevada</v>
    <v>mdp/vdpid/5056514735919333377</v>
  </rv>
  <rv s="0">
    <v>536870912</v>
    <v>Yerington, Nevada</v>
    <v>542d6e0f-f401-aec8-442a-c5e2b41542e9</v>
    <v>en-US</v>
    <v>Map</v>
  </rv>
  <rv s="1">
    <fb>76.317507000000006</fb>
    <v>8</v>
  </rv>
  <rv s="2">
    <v>194</v>
    <v>6</v>
    <v>411</v>
    <v>7</v>
    <v>0</v>
    <v>Image of Yerington, Nevada</v>
  </rv>
  <rv s="1">
    <fb>38.985277777778002</fb>
    <v>9</v>
  </rv>
  <rv s="0">
    <v>805306368</v>
    <v>John Garry (Mayor)</v>
    <v>2fa6b9e8-e0f1-ece0-3488-dca054c2d6e8</v>
    <v>en-US</v>
    <v>Generic</v>
  </rv>
  <rv s="3">
    <v>161</v>
  </rv>
  <rv s="4">
    <v>https://www.bing.com/search?q=yerington+nevada&amp;form=skydnc</v>
    <v>Learn more on Bing</v>
  </rv>
  <rv s="1">
    <fb>-119.16527777778001</fb>
    <v>9</v>
  </rv>
  <rv s="1">
    <fb>3121</fb>
    <v>8</v>
  </rv>
  <rv s="5">
    <v>#VALUE!</v>
    <v>en-US</v>
    <v>542d6e0f-f401-aec8-442a-c5e2b41542e9</v>
    <v>536870912</v>
    <v>1</v>
    <v>412</v>
    <v>2</v>
    <v>Yerington, Nevada</v>
    <v>4</v>
    <v>5</v>
    <v>Map</v>
    <v>6</v>
    <v>7</v>
    <v>1768</v>
    <v>1848</v>
    <v>1956</v>
    <v>4</v>
    <v>Yerington is a city in Lyon County, Nevada, United States. The population was 3,048 at the 2010 census. It is the current county seat of Lyon County, with the first county seat having been established at Dayton on November 29, 1861. It is named ...</v>
    <v>1957</v>
    <v>1958</v>
    <v>1960</v>
    <v>1961</v>
    <v>1962</v>
    <v>Yerington, Nevada</v>
    <v>1963</v>
    <v>Yerington, Nevada</v>
    <v>mdp/vdpid/5058266676986904577</v>
  </rv>
  <rv s="0">
    <v>536870912</v>
    <v>Auburn, Washington</v>
    <v>f8ae8b16-0cde-b635-143a-849dada3ab4d</v>
    <v>en-US</v>
    <v>Map</v>
  </rv>
  <rv s="0">
    <v>536870912</v>
    <v>Washington</v>
    <v>982ad551-fd5d-45df-bd70-bf704dd576e4</v>
    <v>en-US</v>
    <v>Map</v>
  </rv>
  <rv s="0">
    <v>536870912</v>
    <v>Pierce County</v>
    <v>4df1d4a7-d541-3518-0270-fbaff419d4ec</v>
    <v>en-US</v>
    <v>Map</v>
  </rv>
  <rv s="1">
    <fb>77.397955999999994</fb>
    <v>8</v>
  </rv>
  <rv s="2">
    <v>195</v>
    <v>6</v>
    <v>413</v>
    <v>7</v>
    <v>0</v>
    <v>Image of Auburn, Washington</v>
  </rv>
  <rv s="1">
    <fb>47.302222222221999</fb>
    <v>9</v>
  </rv>
  <rv s="0">
    <v>805306368</v>
    <v>Nancy Backus (Mayor)</v>
    <v>f3b9b961-454b-5093-461e-c3c794456585</v>
    <v>en-US</v>
    <v>Generic</v>
  </rv>
  <rv s="3">
    <v>162</v>
  </rv>
  <rv s="4">
    <v>https://www.bing.com/search?q=auburn+washington&amp;form=skydnc</v>
    <v>Learn more on Bing</v>
  </rv>
  <rv s="1">
    <fb>-122.21472222222</fb>
    <v>9</v>
  </rv>
  <rv s="1">
    <fb>87256</fb>
    <v>8</v>
  </rv>
  <rv s="8">
    <v>#VALUE!</v>
    <v>en-US</v>
    <v>f8ae8b16-0cde-b635-143a-849dada3ab4d</v>
    <v>536870912</v>
    <v>1</v>
    <v>414</v>
    <v>26</v>
    <v>Auburn, Washington</v>
    <v>4</v>
    <v>5</v>
    <v>Map</v>
    <v>6</v>
    <v>7</v>
    <v>1966</v>
    <v>1967</v>
    <v>1968</v>
    <v>4</v>
    <v>Auburn is a city in King County, Washington, United States. The population was 87,256 at the 2020 Census. Auburn is a suburb in the Seattle metropolitan area, and is currently ranked as the 14th most populous city in the state of Washington.</v>
    <v>1969</v>
    <v>1970</v>
    <v>1972</v>
    <v>1973</v>
    <v>1974</v>
    <v>Auburn, Washington</v>
    <v>1975</v>
    <v>44</v>
    <v>Auburn, Washington</v>
    <v>mdp/vdpid/4860670205547773953</v>
  </rv>
  <rv s="0">
    <v>536870912</v>
    <v>Bellevue, Washington</v>
    <v>a2e3a3eb-b83e-42f0-bf19-95b4c4c9d3c0</v>
    <v>en-US</v>
    <v>Map</v>
  </rv>
  <rv s="0">
    <v>536870912</v>
    <v>King County</v>
    <v>54389684-d1e7-09ad-33b0-d0587d219a6e</v>
    <v>en-US</v>
    <v>Map</v>
  </rv>
  <rv s="1">
    <fb>87.361943999999994</fb>
    <v>8</v>
  </rv>
  <rv s="2">
    <v>196</v>
    <v>6</v>
    <v>415</v>
    <v>7</v>
    <v>0</v>
    <v>Image of Bellevue, Washington</v>
  </rv>
  <rv s="1">
    <fb>47.614444444444402</fb>
    <v>9</v>
  </rv>
  <rv s="0">
    <v>805306368</v>
    <v>Lynne Robinson (Mayor)</v>
    <v>ee3be9ae-fefa-e537-a5d4-25ef03f789bc</v>
    <v>en-US</v>
    <v>Generic</v>
  </rv>
  <rv s="3">
    <v>163</v>
  </rv>
  <rv s="4">
    <v>https://www.bing.com/search?q=bellevue+washington&amp;form=skydnc</v>
    <v>Learn more on Bing</v>
  </rv>
  <rv s="1">
    <fb>-122.1925</fb>
    <v>9</v>
  </rv>
  <rv s="1">
    <fb>151854</fb>
    <v>8</v>
  </rv>
  <rv s="8">
    <v>#VALUE!</v>
    <v>en-US</v>
    <v>a2e3a3eb-b83e-42f0-bf19-95b4c4c9d3c0</v>
    <v>536870912</v>
    <v>1</v>
    <v>416</v>
    <v>26</v>
    <v>Bellevue, Washington</v>
    <v>4</v>
    <v>5</v>
    <v>Map</v>
    <v>6</v>
    <v>7</v>
    <v>1966</v>
    <v>1978</v>
    <v>1979</v>
    <v>4</v>
    <v>Bellevue is a city in the Eastside region of King County, Washington, United States, located across Lake Washington from Seattle. It is the third-largest city in the Seattle metropolitan area, and the fifth-largest city in Washington. It has ...</v>
    <v>1980</v>
    <v>1981</v>
    <v>1983</v>
    <v>1984</v>
    <v>1985</v>
    <v>Bellevue, Washington</v>
    <v>1986</v>
    <v>44</v>
    <v>Bellevue, Washington</v>
    <v>mdp/vdpid/4860655842355052546</v>
  </rv>
  <rv s="0">
    <v>536870912</v>
    <v>Bellingham, Washington</v>
    <v>de7a1dfc-48ad-4b9f-b364-7711617b3742</v>
    <v>en-US</v>
    <v>Map</v>
  </rv>
  <rv s="0">
    <v>536870912</v>
    <v>Whatcom County</v>
    <v>45a2d4e0-7108-99c1-6f02-859d9c17fa63</v>
    <v>en-US</v>
    <v>Map</v>
  </rv>
  <rv s="1">
    <fb>78.565195000000003</fb>
    <v>8</v>
  </rv>
  <rv s="2">
    <v>197</v>
    <v>6</v>
    <v>417</v>
    <v>7</v>
    <v>0</v>
    <v>Image of Bellingham, Washington</v>
  </rv>
  <rv s="1">
    <fb>48.754388888888897</fb>
    <v>9</v>
  </rv>
  <rv s="0">
    <v>805306368</v>
    <v>Seth Fleetwood (Mayor)</v>
    <v>3470aca2-b10c-c8b7-e231-b7f206622abd</v>
    <v>en-US</v>
    <v>Generic</v>
  </rv>
  <rv s="3">
    <v>164</v>
  </rv>
  <rv s="4">
    <v>https://www.bing.com/search?q=bellingham+washington&amp;form=skydnc</v>
    <v>Learn more on Bing</v>
  </rv>
  <rv s="1">
    <fb>-122.478833333333</fb>
    <v>9</v>
  </rv>
  <rv s="1">
    <fb>91482</fb>
    <v>8</v>
  </rv>
  <rv s="8">
    <v>#VALUE!</v>
    <v>en-US</v>
    <v>de7a1dfc-48ad-4b9f-b364-7711617b3742</v>
    <v>536870912</v>
    <v>1</v>
    <v>418</v>
    <v>26</v>
    <v>Bellingham, Washington</v>
    <v>4</v>
    <v>5</v>
    <v>Map</v>
    <v>6</v>
    <v>7</v>
    <v>1966</v>
    <v>1989</v>
    <v>1990</v>
    <v>4</v>
    <v>Bellingham is the most populous city in, and county seat of Whatcom County in the U.S. state of Washington. It lies 21 miles south of the U.S.–Canada border and in between Vancouver, British Columbia and Seattle.</v>
    <v>1991</v>
    <v>1992</v>
    <v>1994</v>
    <v>1995</v>
    <v>1996</v>
    <v>Bellingham, Washington</v>
    <v>1997</v>
    <v>44</v>
    <v>Bellingham, Washington</v>
    <v>mdp/vdpid/4859730364899262465</v>
  </rv>
  <rv s="0">
    <v>536870912</v>
    <v>Castle Rock, Washington</v>
    <v>b3ca6855-1978-5510-db42-fbc1e2b2e7a5</v>
    <v>en-US</v>
    <v>Map</v>
  </rv>
  <rv s="0">
    <v>536870912</v>
    <v>Cowlitz County</v>
    <v>b9572f9d-7f9a-7a82-e067-44af08d7c720</v>
    <v>en-US</v>
    <v>Map</v>
  </rv>
  <rv s="1">
    <fb>5.5660449999999999</fb>
    <v>8</v>
  </rv>
  <rv s="2">
    <v>198</v>
    <v>6</v>
    <v>419</v>
    <v>7</v>
    <v>0</v>
    <v>Image of Castle Rock, Washington</v>
  </rv>
  <rv s="1">
    <fb>46.273888888888997</fb>
    <v>9</v>
  </rv>
  <rv s="0">
    <v>805306368</v>
    <v>Paul Helenberg (Mayor)</v>
    <v>bf9898ae-bcd0-2a42-718c-aa64c6d5c53d</v>
    <v>en-US</v>
    <v>Generic</v>
  </rv>
  <rv s="3">
    <v>165</v>
  </rv>
  <rv s="4">
    <v>https://www.bing.com/search?q=castle+rock+washington&amp;form=skydnc</v>
    <v>Learn more on Bing</v>
  </rv>
  <rv s="1">
    <fb>-122.905</fb>
    <v>9</v>
  </rv>
  <rv s="1">
    <fb>2446</fb>
    <v>8</v>
  </rv>
  <rv s="8">
    <v>#VALUE!</v>
    <v>en-US</v>
    <v>b3ca6855-1978-5510-db42-fbc1e2b2e7a5</v>
    <v>536870912</v>
    <v>1</v>
    <v>420</v>
    <v>26</v>
    <v>Castle Rock, Washington</v>
    <v>4</v>
    <v>5</v>
    <v>Map</v>
    <v>6</v>
    <v>7</v>
    <v>1966</v>
    <v>2000</v>
    <v>2001</v>
    <v>4</v>
    <v>Castle Rock is a city in Cowlitz County, Washington, United States. Located between the Willapa Hills and the western base of Mount St. Helens, Castle Rock is at the heart of Washington timber country in the Pacific temperate rain forest. Castle ...</v>
    <v>2002</v>
    <v>2003</v>
    <v>2005</v>
    <v>2006</v>
    <v>2007</v>
    <v>Castle Rock, Washington</v>
    <v>2008</v>
    <v>44</v>
    <v>Castle Rock, Washington</v>
    <v>mdp/vdpid/4860828430230355969</v>
  </rv>
  <rv s="0">
    <v>536870912</v>
    <v>Colville, Washington</v>
    <v>f483b57a-196b-c88c-7d6f-a12d8ccce6d3</v>
    <v>en-US</v>
    <v>Map</v>
  </rv>
  <rv s="0">
    <v>536870912</v>
    <v>Stevens County</v>
    <v>73101056-935e-740e-099a-d3e9ab30dbda</v>
    <v>en-US</v>
    <v>Map</v>
  </rv>
  <rv s="1">
    <fb>7.9037649999999999</fb>
    <v>8</v>
  </rv>
  <rv s="2">
    <v>199</v>
    <v>6</v>
    <v>421</v>
    <v>7</v>
    <v>0</v>
    <v>Image of Colville, Washington</v>
  </rv>
  <rv s="1">
    <fb>48.545000000000002</fb>
    <v>9</v>
  </rv>
  <rv s="0">
    <v>805306368</v>
    <v>Jack Smith (Mayor)</v>
    <v>5111940c-8d52-531f-90b0-1989cd9f92a4</v>
    <v>en-US</v>
    <v>Generic</v>
  </rv>
  <rv s="3">
    <v>166</v>
  </rv>
  <rv s="4">
    <v>https://www.bing.com/search?q=colville+washington&amp;form=skydnc</v>
    <v>Learn more on Bing</v>
  </rv>
  <rv s="1">
    <fb>-117.90083333333</fb>
    <v>9</v>
  </rv>
  <rv s="1">
    <fb>4917</fb>
    <v>8</v>
  </rv>
  <rv s="8">
    <v>#VALUE!</v>
    <v>en-US</v>
    <v>f483b57a-196b-c88c-7d6f-a12d8ccce6d3</v>
    <v>536870912</v>
    <v>1</v>
    <v>422</v>
    <v>26</v>
    <v>Colville, Washington</v>
    <v>4</v>
    <v>5</v>
    <v>Map</v>
    <v>6</v>
    <v>7</v>
    <v>1966</v>
    <v>2011</v>
    <v>2012</v>
    <v>4</v>
    <v>Colville is a city in Stevens County, Washington, United States. The population was 4,673 at the 2010 census. It is the county seat of Stevens County.</v>
    <v>2013</v>
    <v>2014</v>
    <v>2016</v>
    <v>2017</v>
    <v>2018</v>
    <v>Colville, Washington</v>
    <v>2019</v>
    <v>44</v>
    <v>Colville, Washington</v>
    <v>mdp/vdpid/4861942993638129665</v>
  </rv>
  <rv s="0">
    <v>536870912</v>
    <v>Copalis Beach, Washington</v>
    <v>11e1574c-c50b-dad3-b521-f2f54d95a692</v>
    <v>en-US</v>
    <v>Map</v>
  </rv>
  <rv s="0">
    <v>536870912</v>
    <v>Grays Harbor County</v>
    <v>256bdaf7-4a70-2601-0647-16c02c1f4ddb</v>
    <v>en-US</v>
    <v>Map</v>
  </rv>
  <rv s="1">
    <fb>9.8264169999999993</fb>
    <v>8</v>
  </rv>
  <rv s="2">
    <v>200</v>
    <v>6</v>
    <v>423</v>
    <v>7</v>
    <v>0</v>
    <v>Image of Copalis Beach, Washington</v>
  </rv>
  <rv s="1">
    <fb>47.117800000000003</fb>
    <v>9</v>
  </rv>
  <rv s="4">
    <v>https://www.bing.com/search?q=copalis+beach+washington&amp;form=skydnc</v>
    <v>Learn more on Bing</v>
  </rv>
  <rv s="1">
    <fb>-124.178</fb>
    <v>9</v>
  </rv>
  <rv s="1">
    <fb>447</fb>
    <v>8</v>
  </rv>
  <rv s="6">
    <v>#VALUE!</v>
    <v>en-US</v>
    <v>11e1574c-c50b-dad3-b521-f2f54d95a692</v>
    <v>536870912</v>
    <v>1</v>
    <v>424</v>
    <v>16</v>
    <v>Copalis Beach, Washington</v>
    <v>4</v>
    <v>5</v>
    <v>Map</v>
    <v>6</v>
    <v>7</v>
    <v>1966</v>
    <v>2022</v>
    <v>2023</v>
    <v>4</v>
    <v>Copalis Beach is a census-designated place in Grays Harbor County, Washington, United States. The population was 415 at the 2010 census. The name "Copalis" comes from the Quinault language term /k'ʷpíls/. The Copalis are a Native American group. ...</v>
    <v>2024</v>
    <v>2025</v>
    <v>2026</v>
    <v>2027</v>
    <v>Copalis Beach, Washington</v>
    <v>2028</v>
    <v>44</v>
    <v>Copalis Beach, Washington</v>
    <v>mdp/vdpid/4854519611019755521</v>
  </rv>
  <rv s="0">
    <v>536870912</v>
    <v>Edmonds, Washington</v>
    <v>dca0d0b1-1779-9b8d-a15f-3ad59f7897ac</v>
    <v>en-US</v>
    <v>Map</v>
  </rv>
  <rv s="0">
    <v>536870912</v>
    <v>Snohomish County</v>
    <v>2028a6ae-aebb-b4b2-2647-6958c2558b09</v>
    <v>en-US</v>
    <v>Map</v>
  </rv>
  <rv s="1">
    <fb>47.748435999999998</fb>
    <v>8</v>
  </rv>
  <rv s="2">
    <v>201</v>
    <v>6</v>
    <v>425</v>
    <v>7</v>
    <v>0</v>
    <v>Image of Edmonds, Washington</v>
  </rv>
  <rv s="1">
    <fb>47.806944444443999</fb>
    <v>9</v>
  </rv>
  <rv s="0">
    <v>805306368</v>
    <v>Mike Rosen (Mayor)</v>
    <v>f9952d29-80f6-1ece-379c-bc1575124bd6</v>
    <v>en-US</v>
    <v>Generic</v>
  </rv>
  <rv s="3">
    <v>167</v>
  </rv>
  <rv s="4">
    <v>https://www.bing.com/search?q=edmonds+washington&amp;form=skydnc</v>
    <v>Learn more on Bing</v>
  </rv>
  <rv s="1">
    <fb>-122.34666666667</fb>
    <v>9</v>
  </rv>
  <rv s="1">
    <fb>42853</fb>
    <v>8</v>
  </rv>
  <rv s="8">
    <v>#VALUE!</v>
    <v>en-US</v>
    <v>dca0d0b1-1779-9b8d-a15f-3ad59f7897ac</v>
    <v>536870912</v>
    <v>1</v>
    <v>426</v>
    <v>26</v>
    <v>Edmonds, Washington</v>
    <v>4</v>
    <v>5</v>
    <v>Map</v>
    <v>6</v>
    <v>7</v>
    <v>1966</v>
    <v>2031</v>
    <v>2032</v>
    <v>4</v>
    <v>Edmonds is a city in Snohomish County, Washington, United States. It is located in the southwest corner of the county, facing Puget Sound and the Olympic Mountains to the west. The city is part of the Seattle metropolitan area and is located 15 ...</v>
    <v>2033</v>
    <v>2034</v>
    <v>2036</v>
    <v>2037</v>
    <v>2038</v>
    <v>Edmonds, Washington</v>
    <v>2039</v>
    <v>44</v>
    <v>Edmonds, Washington</v>
    <v>mdp/vdpid/4860556784286302209</v>
  </rv>
  <rv s="0">
    <v>536870912</v>
    <v>Ellensburg, Washington</v>
    <v>21e688b7-10f9-73c5-63f0-6dac38d6bc24</v>
    <v>en-US</v>
    <v>Map</v>
  </rv>
  <rv s="0">
    <v>536870912</v>
    <v>Kittitas County</v>
    <v>d1164e41-4d7f-b76a-2caa-ec645d0155ff</v>
    <v>en-US</v>
    <v>Map</v>
  </rv>
  <rv s="1">
    <fb>18.858706999999999</fb>
    <v>8</v>
  </rv>
  <rv s="2">
    <v>202</v>
    <v>6</v>
    <v>427</v>
    <v>7</v>
    <v>0</v>
    <v>Image of Ellensburg, Washington</v>
  </rv>
  <rv s="1">
    <fb>46.997064000000002</fb>
    <v>9</v>
  </rv>
  <rv s="0">
    <v>805306368</v>
    <v>Nancy Lillquist (Mayor)</v>
    <v>acd94057-1d5d-ab6e-7978-d879b816a7a4</v>
    <v>en-US</v>
    <v>Generic</v>
  </rv>
  <rv s="3">
    <v>168</v>
  </rv>
  <rv s="4">
    <v>https://www.bing.com/search?q=ellensburg+washington&amp;form=skydnc</v>
    <v>Learn more on Bing</v>
  </rv>
  <rv s="1">
    <fb>-120.545119</fb>
    <v>9</v>
  </rv>
  <rv s="1">
    <fb>18666</fb>
    <v>8</v>
  </rv>
  <rv s="8">
    <v>#VALUE!</v>
    <v>en-US</v>
    <v>21e688b7-10f9-73c5-63f0-6dac38d6bc24</v>
    <v>536870912</v>
    <v>1</v>
    <v>428</v>
    <v>26</v>
    <v>Ellensburg, Washington</v>
    <v>4</v>
    <v>5</v>
    <v>Map</v>
    <v>6</v>
    <v>7</v>
    <v>1966</v>
    <v>2042</v>
    <v>2043</v>
    <v>4</v>
    <v>Ellensburg is a city in and the county seat of Kittitas County, Washington, United States. It is located just east of the Cascade Range near the junction of Interstate 90 and Interstate 82. The population was 18,666 at the 2020 census. and was ...</v>
    <v>2044</v>
    <v>2045</v>
    <v>2047</v>
    <v>2048</v>
    <v>2049</v>
    <v>Ellensburg, Washington</v>
    <v>2050</v>
    <v>44</v>
    <v>Ellensburg, Washington</v>
    <v>mdp/vdpid/4861153198712291329</v>
  </rv>
  <rv s="0">
    <v>536870912</v>
    <v>Everett, Washington</v>
    <v>7392fc91-86b1-46da-b06a-0d3ba51d1c8a</v>
    <v>en-US</v>
    <v>Map</v>
  </rv>
  <rv s="1">
    <fb>125.090278</fb>
    <v>8</v>
  </rv>
  <rv s="2">
    <v>203</v>
    <v>6</v>
    <v>429</v>
    <v>7</v>
    <v>0</v>
    <v>Image of Everett, Washington</v>
  </rv>
  <rv s="1">
    <fb>47.963333333332997</fb>
    <v>9</v>
  </rv>
  <rv s="0">
    <v>805306368</v>
    <v>Cassie Franklin (Mayor)</v>
    <v>2eddf320-1a27-641a-8831-c2620bd16a57</v>
    <v>en-US</v>
    <v>Generic</v>
  </rv>
  <rv s="3">
    <v>169</v>
  </rv>
  <rv s="4">
    <v>https://www.bing.com/search?q=everett+washington&amp;form=skydnc</v>
    <v>Learn more on Bing</v>
  </rv>
  <rv s="1">
    <fb>-122.20055555556</fb>
    <v>9</v>
  </rv>
  <rv s="1">
    <fb>110629</fb>
    <v>8</v>
  </rv>
  <rv s="8">
    <v>#VALUE!</v>
    <v>en-US</v>
    <v>7392fc91-86b1-46da-b06a-0d3ba51d1c8a</v>
    <v>536870912</v>
    <v>1</v>
    <v>430</v>
    <v>26</v>
    <v>Everett, Washington</v>
    <v>4</v>
    <v>5</v>
    <v>Map</v>
    <v>6</v>
    <v>7</v>
    <v>1966</v>
    <v>2031</v>
    <v>2053</v>
    <v>4</v>
    <v>Everett is the county seat and largest city of Snohomish County, Washington, United States. It is 25 miles north of Seattle and is one of the main cities in the metropolitan area and the Puget Sound region. Everett is the seventh-largest city in ...</v>
    <v>2054</v>
    <v>2055</v>
    <v>2057</v>
    <v>2058</v>
    <v>2059</v>
    <v>Everett, Washington</v>
    <v>2060</v>
    <v>44</v>
    <v>Everett, Washington</v>
    <v>mdp/vdpid/4859896363522981889</v>
  </rv>
  <rv s="0">
    <v>536870912</v>
    <v>Kennewick, Washington</v>
    <v>7586ad1d-c6f8-478e-a49e-536b26560f63</v>
    <v>en-US</v>
    <v>Map</v>
  </rv>
  <rv s="0">
    <v>536870912</v>
    <v>Benton County</v>
    <v>753f6d30-6acf-6078-5b17-1df8be271e4b</v>
    <v>en-US</v>
    <v>Map</v>
  </rv>
  <rv s="1">
    <fb>74.659992000000003</fb>
    <v>8</v>
  </rv>
  <rv s="2">
    <v>204</v>
    <v>6</v>
    <v>431</v>
    <v>7</v>
    <v>0</v>
    <v>Image of Kennewick, Washington</v>
  </rv>
  <rv s="1">
    <fb>46.203474999999997</fb>
    <v>9</v>
  </rv>
  <rv s="0">
    <v>805306368</v>
    <v>Bill McKay (Mayor)</v>
    <v>d7ebea73-c04f-916f-5f92-71af9296ab67</v>
    <v>en-US</v>
    <v>Generic</v>
  </rv>
  <rv s="3">
    <v>170</v>
  </rv>
  <rv s="4">
    <v>https://www.bing.com/search?q=kennewick+washington&amp;form=skydnc</v>
    <v>Learn more on Bing</v>
  </rv>
  <rv s="1">
    <fb>-119.15927000000001</fb>
    <v>9</v>
  </rv>
  <rv s="1">
    <fb>83921</fb>
    <v>8</v>
  </rv>
  <rv s="8">
    <v>#VALUE!</v>
    <v>en-US</v>
    <v>7586ad1d-c6f8-478e-a49e-536b26560f63</v>
    <v>536870912</v>
    <v>1</v>
    <v>432</v>
    <v>26</v>
    <v>Kennewick, Washington</v>
    <v>4</v>
    <v>5</v>
    <v>Map</v>
    <v>6</v>
    <v>7</v>
    <v>1966</v>
    <v>2063</v>
    <v>2064</v>
    <v>4</v>
    <v>Kennewick is a city in Benton County in the U.S. state of Washington. It is located along the southwest bank of the Columbia River, just southeast of the confluence of the Columbia and Yakima rivers and across from the confluence of the Columbia ...</v>
    <v>2065</v>
    <v>2066</v>
    <v>2068</v>
    <v>2069</v>
    <v>2070</v>
    <v>Kennewick, Washington</v>
    <v>2071</v>
    <v>44</v>
    <v>Kennewick, Washington</v>
    <v>mdp/vdpid/4861508489362538497</v>
  </rv>
  <rv s="0">
    <v>536870912</v>
    <v>Kent, Washington</v>
    <v>dc460ea8-7494-4c90-af7b-2c4f4a7de061</v>
    <v>en-US</v>
    <v>Map</v>
  </rv>
  <rv s="1">
    <fb>89.130233000000004</fb>
    <v>8</v>
  </rv>
  <rv s="2">
    <v>205</v>
    <v>6</v>
    <v>433</v>
    <v>7</v>
    <v>0</v>
    <v>Image of Kent, Washington</v>
  </rv>
  <rv s="1">
    <fb>47.382777777778003</fb>
    <v>9</v>
  </rv>
  <rv s="0">
    <v>805306368</v>
    <v>Dana Ralph (Mayor)</v>
    <v>60e6b10c-f27e-2447-778f-e687f761df60</v>
    <v>en-US</v>
    <v>Generic</v>
  </rv>
  <rv s="3">
    <v>171</v>
  </rv>
  <rv s="4">
    <v>https://www.bing.com/search?q=kent+washington&amp;form=skydnc</v>
    <v>Learn more on Bing</v>
  </rv>
  <rv s="1">
    <fb>-122.22694444443999</fb>
    <v>9</v>
  </rv>
  <rv s="1">
    <fb>136588</fb>
    <v>8</v>
  </rv>
  <rv s="8">
    <v>#VALUE!</v>
    <v>en-US</v>
    <v>dc460ea8-7494-4c90-af7b-2c4f4a7de061</v>
    <v>536870912</v>
    <v>1</v>
    <v>434</v>
    <v>26</v>
    <v>Kent, Washington</v>
    <v>4</v>
    <v>5</v>
    <v>Map</v>
    <v>6</v>
    <v>7</v>
    <v>1966</v>
    <v>1978</v>
    <v>2074</v>
    <v>4</v>
    <v>Kent is a city in King County, Washington, United States. It is part of the Seattle–Tacoma–Bellevue metropolitan area and had a population of 136,588 as of the 2020 census, making it the 4th most populous municipality in greater Seattle and the ...</v>
    <v>2075</v>
    <v>2076</v>
    <v>2078</v>
    <v>2079</v>
    <v>2080</v>
    <v>Kent, Washington</v>
    <v>2081</v>
    <v>44</v>
    <v>Kent, Washington</v>
    <v>mdp/vdpid/4860669149942120449</v>
  </rv>
  <rv s="0">
    <v>536870912</v>
    <v>Kettle Falls, Washington</v>
    <v>c1daa794-4a68-5756-abfc-bf4feb2adfdc</v>
    <v>en-US</v>
    <v>Map</v>
  </rv>
  <rv s="1">
    <fb>3.1647789999999998</fb>
    <v>8</v>
  </rv>
  <rv s="2">
    <v>206</v>
    <v>6</v>
    <v>435</v>
    <v>7</v>
    <v>0</v>
    <v>Image of Kettle Falls, Washington</v>
  </rv>
  <rv s="1">
    <fb>48.605800000000002</fb>
    <v>9</v>
  </rv>
  <rv s="4">
    <v>https://www.bing.com/search?q=kettle+falls+washington&amp;form=skydnc</v>
    <v>Learn more on Bing</v>
  </rv>
  <rv s="1">
    <fb>-118.06</fb>
    <v>9</v>
  </rv>
  <rv s="1">
    <fb>1636</fb>
    <v>8</v>
  </rv>
  <rv s="6">
    <v>#VALUE!</v>
    <v>en-US</v>
    <v>c1daa794-4a68-5756-abfc-bf4feb2adfdc</v>
    <v>536870912</v>
    <v>1</v>
    <v>436</v>
    <v>16</v>
    <v>Kettle Falls, Washington</v>
    <v>4</v>
    <v>5</v>
    <v>Map</v>
    <v>6</v>
    <v>7</v>
    <v>1966</v>
    <v>2011</v>
    <v>2084</v>
    <v>4</v>
    <v>Kettle Falls is a city in Stevens County, Washington, United States, named for the nearby Kettle Falls on the Kettle River. The city itself is located on the Colville River immediately upstream from its confluence with the Columbia River. The ...</v>
    <v>2085</v>
    <v>2086</v>
    <v>2087</v>
    <v>2088</v>
    <v>Kettle Falls, Washington</v>
    <v>2089</v>
    <v>44</v>
    <v>Kettle Falls, Washington</v>
    <v>mdp/vdpid/4861939763956940801</v>
  </rv>
  <rv s="0">
    <v>536870912</v>
    <v>Kirkland, Washington</v>
    <v>16d96f2e-3258-421b-4d0b-93da19183e7a</v>
    <v>en-US</v>
    <v>Map</v>
  </rv>
  <rv s="1">
    <fb>46.179803</fb>
    <v>8</v>
  </rv>
  <rv s="2">
    <v>207</v>
    <v>6</v>
    <v>437</v>
    <v>7</v>
    <v>0</v>
    <v>Image of Kirkland, Washington</v>
  </rv>
  <rv s="1">
    <fb>47.685833333333001</fb>
    <v>9</v>
  </rv>
  <rv s="0">
    <v>805306368</v>
    <v>Penny Sweet (Mayor)</v>
    <v>2a96ccb4-da07-08c5-e97c-caf89ff91d90</v>
    <v>en-US</v>
    <v>Generic</v>
  </rv>
  <rv s="3">
    <v>172</v>
  </rv>
  <rv s="4">
    <v>https://www.bing.com/search?q=kirkland+washington&amp;form=skydnc</v>
    <v>Learn more on Bing</v>
  </rv>
  <rv s="1">
    <fb>-122.19166666667</fb>
    <v>9</v>
  </rv>
  <rv s="1">
    <fb>92175</fb>
    <v>8</v>
  </rv>
  <rv s="8">
    <v>#VALUE!</v>
    <v>en-US</v>
    <v>16d96f2e-3258-421b-4d0b-93da19183e7a</v>
    <v>536870912</v>
    <v>1</v>
    <v>438</v>
    <v>26</v>
    <v>Kirkland, Washington</v>
    <v>4</v>
    <v>5</v>
    <v>Map</v>
    <v>6</v>
    <v>7</v>
    <v>1966</v>
    <v>1978</v>
    <v>2092</v>
    <v>4</v>
    <v>Kirkland is a city in King County, Washington, United States. A suburb east of Seattle, its population was 92,175 in the 2020 U.S. census which made it the sixth largest city in King County and the twelfth largest city in the state of Washington.</v>
    <v>2093</v>
    <v>2094</v>
    <v>2096</v>
    <v>2097</v>
    <v>2098</v>
    <v>Kirkland, Washington</v>
    <v>2099</v>
    <v>44</v>
    <v>Kirkland, Washington</v>
    <v>mdp/vdpid/4860652726020734977</v>
  </rv>
  <rv s="0">
    <v>536870912</v>
    <v>Leavenworth, Washington</v>
    <v>fd906482-223c-f8b7-1d16-b0acb1b4eff2</v>
    <v>en-US</v>
    <v>Map</v>
  </rv>
  <rv s="0">
    <v>536870912</v>
    <v>Chelan County</v>
    <v>ba27a24d-acf9-c43d-d8f6-0b22aafae2c0</v>
    <v>en-US</v>
    <v>Map</v>
  </rv>
  <rv s="1">
    <fb>3.4077929999999999</fb>
    <v>8</v>
  </rv>
  <rv s="2">
    <v>208</v>
    <v>6</v>
    <v>439</v>
    <v>7</v>
    <v>0</v>
    <v>Image of Leavenworth, Washington</v>
  </rv>
  <rv s="1">
    <fb>47.596400000000003</fb>
    <v>9</v>
  </rv>
  <rv s="0">
    <v>805306368</v>
    <v>Carl Florea (Mayor)</v>
    <v>08586b5a-3764-2d87-db23-2b9a02f6eb80</v>
    <v>en-US</v>
    <v>Generic</v>
  </rv>
  <rv s="3">
    <v>173</v>
  </rv>
  <rv s="4">
    <v>https://www.bing.com/search?q=leavenworth+washington&amp;form=skydnc</v>
    <v>Learn more on Bing</v>
  </rv>
  <rv s="1">
    <fb>-120.66500000000001</fb>
    <v>9</v>
  </rv>
  <rv s="1">
    <fb>2263</fb>
    <v>8</v>
  </rv>
  <rv s="8">
    <v>#VALUE!</v>
    <v>en-US</v>
    <v>fd906482-223c-f8b7-1d16-b0acb1b4eff2</v>
    <v>536870912</v>
    <v>1</v>
    <v>440</v>
    <v>26</v>
    <v>Leavenworth, Washington</v>
    <v>4</v>
    <v>5</v>
    <v>Map</v>
    <v>6</v>
    <v>7</v>
    <v>1966</v>
    <v>2102</v>
    <v>2103</v>
    <v>4</v>
    <v>Leavenworth is a city in Chelan County, Washington, United States. It is part of the Wenatchee−East Wenatchee Metropolitan Statistical Area. The population was 2,263 at the 2020 census. The entire town center is modeled on a German Bavarian ...</v>
    <v>2104</v>
    <v>2105</v>
    <v>2107</v>
    <v>2108</v>
    <v>2109</v>
    <v>Leavenworth, Washington</v>
    <v>2110</v>
    <v>44</v>
    <v>Leavenworth, Washington</v>
    <v>mdp/vdpid/4861080121588580353</v>
  </rv>
  <rv s="0">
    <v>536870912</v>
    <v>Longview, Washington</v>
    <v>5e9cf5e9-dba3-e889-ff09-7a793e0d74a3</v>
    <v>en-US</v>
    <v>Map</v>
  </rv>
  <rv s="1">
    <fb>39.698948000000001</fb>
    <v>8</v>
  </rv>
  <rv s="2">
    <v>209</v>
    <v>6</v>
    <v>441</v>
    <v>7</v>
    <v>0</v>
    <v>Image of Longview, Washington</v>
  </rv>
  <rv s="1">
    <fb>46.14</fb>
    <v>9</v>
  </rv>
  <rv s="0">
    <v>805306368</v>
    <v>MaryAlice Wallis (Mayor)</v>
    <v>8787920e-da5a-20f9-6ad0-bbbacf718917</v>
    <v>en-US</v>
    <v>Generic</v>
  </rv>
  <rv s="3">
    <v>174</v>
  </rv>
  <rv s="4">
    <v>https://www.bing.com/search?q=longview+washington&amp;form=skydnc</v>
    <v>Learn more on Bing</v>
  </rv>
  <rv s="1">
    <fb>-122.9375</fb>
    <v>9</v>
  </rv>
  <rv s="1">
    <fb>37818</fb>
    <v>8</v>
  </rv>
  <rv s="8">
    <v>#VALUE!</v>
    <v>en-US</v>
    <v>5e9cf5e9-dba3-e889-ff09-7a793e0d74a3</v>
    <v>536870912</v>
    <v>1</v>
    <v>442</v>
    <v>26</v>
    <v>Longview, Washington</v>
    <v>4</v>
    <v>5</v>
    <v>Map</v>
    <v>6</v>
    <v>7</v>
    <v>1966</v>
    <v>2000</v>
    <v>2113</v>
    <v>4</v>
    <v>Longview is a city in Cowlitz County, Washington, United States. It is the principal city of the Longview, Washington Metropolitan Statistical Area, which encompasses all of Cowlitz County. Longview's population was 37,818 at the time of the ...</v>
    <v>2114</v>
    <v>2115</v>
    <v>2117</v>
    <v>2118</v>
    <v>2119</v>
    <v>Longview, Washington</v>
    <v>2120</v>
    <v>44</v>
    <v>Longview, Washington</v>
    <v>mdp/vdpid/4860832864230440961</v>
  </rv>
  <rv s="0">
    <v>536870912</v>
    <v>Moses Lake, Washington</v>
    <v>6746ec04-90c7-e40d-b5ce-984867b1f77d</v>
    <v>en-US</v>
    <v>Map</v>
  </rv>
  <rv s="0">
    <v>536870912</v>
    <v>Grant County</v>
    <v>89dcaafa-15b3-471b-d5ca-b3d8b1733cf4</v>
    <v>en-US</v>
    <v>Map</v>
  </rv>
  <rv s="1">
    <fb>52.199227999999998</fb>
    <v>8</v>
  </rv>
  <rv s="2">
    <v>210</v>
    <v>6</v>
    <v>443</v>
    <v>7</v>
    <v>0</v>
    <v>Image of Moses Lake, Washington</v>
  </rv>
  <rv s="1">
    <fb>47.121099999999998</fb>
    <v>9</v>
  </rv>
  <rv s="0">
    <v>805306368</v>
    <v>Dean Hankins (Mayor)</v>
    <v>e9c47159-4289-29b6-19fb-b79a6838c5c8</v>
    <v>en-US</v>
    <v>Generic</v>
  </rv>
  <rv s="3">
    <v>175</v>
  </rv>
  <rv s="4">
    <v>https://www.bing.com/search?q=moses+lake+washington&amp;form=skydnc</v>
    <v>Learn more on Bing</v>
  </rv>
  <rv s="1">
    <fb>-119.288</fb>
    <v>9</v>
  </rv>
  <rv s="1">
    <fb>25146</fb>
    <v>8</v>
  </rv>
  <rv s="8">
    <v>#VALUE!</v>
    <v>en-US</v>
    <v>6746ec04-90c7-e40d-b5ce-984867b1f77d</v>
    <v>536870912</v>
    <v>1</v>
    <v>444</v>
    <v>26</v>
    <v>Moses Lake, Washington</v>
    <v>4</v>
    <v>5</v>
    <v>Map</v>
    <v>6</v>
    <v>7</v>
    <v>1966</v>
    <v>2123</v>
    <v>2124</v>
    <v>4</v>
    <v>Moses Lake is a city in Grant County, Washington, United States. The population was 25,146 as of the 2020 census. Moses Lake is the largest city in Grant County. The city anchors the Moses Lake Micropolitan area, which includes all of Grant ...</v>
    <v>2125</v>
    <v>2126</v>
    <v>2128</v>
    <v>2129</v>
    <v>2130</v>
    <v>Moses Lake, Washington</v>
    <v>2131</v>
    <v>44</v>
    <v>Moses Lake, Washington</v>
    <v>mdp/vdpid/4861287009206927361</v>
  </rv>
  <rv s="0">
    <v>536870912</v>
    <v>Neah Bay, Washington</v>
    <v>123b6ed9-97e3-693d-6d4f-da2748e7c5e4</v>
    <v>en-US</v>
    <v>Map</v>
  </rv>
  <rv s="0">
    <v>536870912</v>
    <v>Clallam County</v>
    <v>e9206d60-f612-a986-b7e3-e2d4b84bb19a</v>
    <v>en-US</v>
    <v>Map</v>
  </rv>
  <rv s="1">
    <fb>6.0837539999999999</fb>
    <v>8</v>
  </rv>
  <rv s="2">
    <v>211</v>
    <v>6</v>
    <v>445</v>
    <v>7</v>
    <v>0</v>
    <v>Image of Neah Bay, Washington</v>
  </rv>
  <rv s="1">
    <fb>48.365600000000001</fb>
    <v>9</v>
  </rv>
  <rv s="4">
    <v>https://www.bing.com/search?q=neah+bay+washington&amp;form=skydnc</v>
    <v>Learn more on Bing</v>
  </rv>
  <rv s="1">
    <fb>-124.616</fb>
    <v>9</v>
  </rv>
  <rv s="1">
    <fb>935</fb>
    <v>8</v>
  </rv>
  <rv s="6">
    <v>#VALUE!</v>
    <v>en-US</v>
    <v>123b6ed9-97e3-693d-6d4f-da2748e7c5e4</v>
    <v>536870912</v>
    <v>1</v>
    <v>446</v>
    <v>16</v>
    <v>Neah Bay, Washington</v>
    <v>4</v>
    <v>5</v>
    <v>Map</v>
    <v>6</v>
    <v>7</v>
    <v>1966</v>
    <v>2134</v>
    <v>2135</v>
    <v>4</v>
    <v>Neah Bay is a census-designated place on the Makah Reservation in Clallam County, Washington, United States. The population was 935 at the 2020 census. It is across the Canada–US border from British Columbia. Originally called "Scarborough ...</v>
    <v>2136</v>
    <v>2137</v>
    <v>2138</v>
    <v>2139</v>
    <v>Neah Bay, Washington</v>
    <v>2140</v>
    <v>44</v>
    <v>Neah Bay, Washington</v>
    <v>mdp/vdpid/4853696523168382977</v>
  </rv>
  <rv s="0">
    <v>536870912</v>
    <v>Newport, Washington</v>
    <v>541f8c59-1e41-21b3-4db0-37d9a7be673d</v>
    <v>en-US</v>
    <v>Map</v>
  </rv>
  <rv s="0">
    <v>536870912</v>
    <v>Pend Oreille County</v>
    <v>50c08cda-7456-f426-2bd3-3893f844d189</v>
    <v>en-US</v>
    <v>Map</v>
  </rv>
  <rv s="1">
    <fb>3.4295089999999999</fb>
    <v>8</v>
  </rv>
  <rv s="2">
    <v>212</v>
    <v>6</v>
    <v>447</v>
    <v>7</v>
    <v>0</v>
    <v>Image of Newport, Washington</v>
  </rv>
  <rv s="1">
    <fb>48.180555555555998</fb>
    <v>9</v>
  </rv>
  <rv s="0">
    <v>805306368</v>
    <v>Keith Campbell (Mayor)</v>
    <v>555a90ce-6fb0-88ed-4070-8018e08e9288</v>
    <v>en-US</v>
    <v>Generic</v>
  </rv>
  <rv s="3">
    <v>176</v>
  </rv>
  <rv s="4">
    <v>https://www.bing.com/search?q=newport+washington&amp;form=skydnc</v>
    <v>Learn more on Bing</v>
  </rv>
  <rv s="1">
    <fb>-117.0475</fb>
    <v>9</v>
  </rv>
  <rv s="1">
    <fb>2114</fb>
    <v>8</v>
  </rv>
  <rv s="8">
    <v>#VALUE!</v>
    <v>en-US</v>
    <v>541f8c59-1e41-21b3-4db0-37d9a7be673d</v>
    <v>536870912</v>
    <v>1</v>
    <v>448</v>
    <v>26</v>
    <v>Newport, Washington</v>
    <v>4</v>
    <v>5</v>
    <v>Map</v>
    <v>6</v>
    <v>7</v>
    <v>1966</v>
    <v>2143</v>
    <v>2144</v>
    <v>4</v>
    <v>Newport is a city in and the county seat of Pend Oreille County, Washington, United States. The population was 2,126 at the 2010 census.</v>
    <v>2145</v>
    <v>2146</v>
    <v>2148</v>
    <v>2149</v>
    <v>2150</v>
    <v>Newport, Washington</v>
    <v>2151</v>
    <v>44</v>
    <v>Newport, Washington</v>
    <v>mdp/vdpid/4862037516707954689</v>
  </rv>
  <rv s="0">
    <v>536870912</v>
    <v>Olympia, Washington</v>
    <v>25db44e7-f2cd-390a-3d28-310cf208511a</v>
    <v>en-US</v>
    <v>Map</v>
  </rv>
  <rv s="0">
    <v>536870912</v>
    <v>Thurston County</v>
    <v>4b663a75-4a23-de86-b2a2-c2e4e2e8605a</v>
    <v>en-US</v>
    <v>Map</v>
  </rv>
  <rv s="1">
    <fb>51.977836000000003</fb>
    <v>8</v>
  </rv>
  <rv s="2">
    <v>213</v>
    <v>6</v>
    <v>449</v>
    <v>7</v>
    <v>0</v>
    <v>Image of Olympia, Washington</v>
  </rv>
  <rv s="1">
    <fb>47.042499999999997</fb>
    <v>9</v>
  </rv>
  <rv s="0">
    <v>805306368</v>
    <v>Cheryl Selby (Mayor)</v>
    <v>70612b38-c170-b245-1889-64a571a294c8</v>
    <v>en-US</v>
    <v>Generic</v>
  </rv>
  <rv s="3">
    <v>177</v>
  </rv>
  <rv s="4">
    <v>https://www.bing.com/search?q=olympia+washington&amp;form=skydnc</v>
    <v>Learn more on Bing</v>
  </rv>
  <rv s="1">
    <fb>-122.89305555556</fb>
    <v>9</v>
  </rv>
  <rv s="1">
    <fb>55605</fb>
    <v>8</v>
  </rv>
  <rv s="8">
    <v>#VALUE!</v>
    <v>en-US</v>
    <v>25db44e7-f2cd-390a-3d28-310cf208511a</v>
    <v>536870912</v>
    <v>1</v>
    <v>450</v>
    <v>26</v>
    <v>Olympia, Washington</v>
    <v>4</v>
    <v>5</v>
    <v>Map</v>
    <v>6</v>
    <v>7</v>
    <v>1966</v>
    <v>2154</v>
    <v>2155</v>
    <v>4</v>
    <v>Olympia is the capital of the U.S. state of Washington and the county seat and most populous city of Thurston County. It is 60 miles southwest of the state's most populous city, Seattle, and is a cultural center of the southern Puget Sound region.</v>
    <v>2156</v>
    <v>2157</v>
    <v>2159</v>
    <v>2160</v>
    <v>2161</v>
    <v>Olympia, Washington</v>
    <v>2162</v>
    <v>44</v>
    <v>Olympia, Washington</v>
    <v>mdp/vdpid/4860616545769881601</v>
  </rv>
  <rv s="0">
    <v>536870912</v>
    <v>Omak, Washington</v>
    <v>cb0d34f5-be07-e853-b1c1-60a3b0923bfd</v>
    <v>en-US</v>
    <v>Map</v>
  </rv>
  <rv s="0">
    <v>536870912</v>
    <v>Okanogan County</v>
    <v>a31d1233-5a1e-d80d-21c6-7cd645903e3e</v>
    <v>en-US</v>
    <v>Map</v>
  </rv>
  <rv s="1">
    <fb>9.1533390000000008</fb>
    <v>8</v>
  </rv>
  <rv s="2">
    <v>214</v>
    <v>6</v>
    <v>451</v>
    <v>7</v>
    <v>0</v>
    <v>Image of Omak, Washington</v>
  </rv>
  <rv s="1">
    <fb>48.412500000000001</fb>
    <v>9</v>
  </rv>
  <rv s="0">
    <v>805306368</v>
    <v>Cindy Gagne (Mayor)</v>
    <v>19c5e1a0-cf23-64f7-3bb7-0bc75312cbb8</v>
    <v>en-US</v>
    <v>Generic</v>
  </rv>
  <rv s="3">
    <v>178</v>
  </rv>
  <rv s="4">
    <v>https://www.bing.com/search?q=omak+washington&amp;form=skydnc</v>
    <v>Learn more on Bing</v>
  </rv>
  <rv s="1">
    <fb>-119.53700000000001</fb>
    <v>9</v>
  </rv>
  <rv s="1">
    <fb>4860</fb>
    <v>8</v>
  </rv>
  <rv s="8">
    <v>#VALUE!</v>
    <v>en-US</v>
    <v>cb0d34f5-be07-e853-b1c1-60a3b0923bfd</v>
    <v>536870912</v>
    <v>1</v>
    <v>452</v>
    <v>26</v>
    <v>Omak, Washington</v>
    <v>4</v>
    <v>5</v>
    <v>Map</v>
    <v>6</v>
    <v>7</v>
    <v>1966</v>
    <v>2165</v>
    <v>2166</v>
    <v>4</v>
    <v>Omak is a city located in the foothills of the Okanogan Highlands in north-central Washington, United States. With an estimated 4,845 residents as of 2010, distributed over a land area of 3.43 square miles, Omak is the largest municipality of ...</v>
    <v>2167</v>
    <v>2168</v>
    <v>2170</v>
    <v>2171</v>
    <v>2172</v>
    <v>Omak, Washington</v>
    <v>2173</v>
    <v>44</v>
    <v>Omak, Washington</v>
    <v>mdp/vdpid/4860440651222745089</v>
  </rv>
  <rv s="0">
    <v>536870912</v>
    <v>Pullman, Washington</v>
    <v>f6dd4f62-fa43-1e46-cd33-0fd22259684c</v>
    <v>en-US</v>
    <v>Map</v>
  </rv>
  <rv s="0">
    <v>536870912</v>
    <v>Whitman County</v>
    <v>014e3b71-53f6-8ced-fa62-ea651acb234a</v>
    <v>en-US</v>
    <v>Map</v>
  </rv>
  <rv s="1">
    <fb>27.64</fb>
    <v>8</v>
  </rv>
  <rv s="2">
    <v>215</v>
    <v>6</v>
    <v>453</v>
    <v>7</v>
    <v>0</v>
    <v>Image of Pullman, Washington</v>
  </rv>
  <rv s="1">
    <fb>46.733333333333</fb>
    <v>9</v>
  </rv>
  <rv s="0">
    <v>805306368</v>
    <v>Glenn Johnson (Mayor)</v>
    <v>be31e5ae-093a-e688-1c50-272c27fed9c3</v>
    <v>en-US</v>
    <v>Generic</v>
  </rv>
  <rv s="3">
    <v>179</v>
  </rv>
  <rv s="4">
    <v>https://www.bing.com/search?q=pullman+washington&amp;form=skydnc</v>
    <v>Learn more on Bing</v>
  </rv>
  <rv s="1">
    <fb>-117.16666666667</fb>
    <v>9</v>
  </rv>
  <rv s="1">
    <fb>32901</fb>
    <v>8</v>
  </rv>
  <rv s="8">
    <v>#VALUE!</v>
    <v>en-US</v>
    <v>f6dd4f62-fa43-1e46-cd33-0fd22259684c</v>
    <v>536870912</v>
    <v>1</v>
    <v>454</v>
    <v>26</v>
    <v>Pullman, Washington</v>
    <v>4</v>
    <v>5</v>
    <v>Map</v>
    <v>6</v>
    <v>7</v>
    <v>1966</v>
    <v>2176</v>
    <v>2177</v>
    <v>4</v>
    <v>Pullman is the largest city in Whitman County, located in southeastern Washington within the Palouse region of the Pacific Northwest. The population was 29,799 at the 2010 census, and estimated to be 34,506 in 2019. Originally founded as Three ...</v>
    <v>2178</v>
    <v>2179</v>
    <v>2181</v>
    <v>2182</v>
    <v>2183</v>
    <v>Pullman, Washington</v>
    <v>2184</v>
    <v>44</v>
    <v>Pullman, Washington</v>
    <v>mdp/vdpid/4862887176951562241</v>
  </rv>
  <rv s="0">
    <v>536870912</v>
    <v>Renton, Washington</v>
    <v>d2f20726-e942-0925-287b-99a0854748d3</v>
    <v>en-US</v>
    <v>Map</v>
  </rv>
  <rv s="1">
    <fb>65.358304000000004</fb>
    <v>8</v>
  </rv>
  <rv s="2">
    <v>216</v>
    <v>6</v>
    <v>455</v>
    <v>7</v>
    <v>0</v>
    <v>Image of Renton, Washington</v>
  </rv>
  <rv s="1">
    <fb>47.479916666666703</fb>
    <v>9</v>
  </rv>
  <rv s="0">
    <v>805306368</v>
    <v>Armondo Pavone (Mayor)</v>
    <v>0832e6f0-4a6b-f404-745b-9fa757425859</v>
    <v>en-US</v>
    <v>Generic</v>
  </rv>
  <rv s="3">
    <v>180</v>
  </rv>
  <rv s="4">
    <v>https://www.bing.com/search?q=renton+washington&amp;form=skydnc</v>
    <v>Learn more on Bing</v>
  </rv>
  <rv s="1">
    <fb>-122.203444444444</fb>
    <v>9</v>
  </rv>
  <rv s="1">
    <fb>106785</fb>
    <v>8</v>
  </rv>
  <rv s="8">
    <v>#VALUE!</v>
    <v>en-US</v>
    <v>d2f20726-e942-0925-287b-99a0854748d3</v>
    <v>536870912</v>
    <v>1</v>
    <v>456</v>
    <v>26</v>
    <v>Renton, Washington</v>
    <v>4</v>
    <v>5</v>
    <v>Map</v>
    <v>6</v>
    <v>7</v>
    <v>1966</v>
    <v>1978</v>
    <v>2187</v>
    <v>4</v>
    <v>Renton is a city in King County, Washington, United States, and an inner-ring suburb of Seattle. Situated 11 miles southeast of downtown Seattle, Renton straddles the southeast shore of Lake Washington, at the mouth of the Cedar River. As of the ...</v>
    <v>2188</v>
    <v>2189</v>
    <v>2191</v>
    <v>2192</v>
    <v>2193</v>
    <v>Renton, Washington</v>
    <v>2194</v>
    <v>44</v>
    <v>Renton, Washington</v>
    <v>mdp/vdpid/4860658463006523393</v>
  </rv>
  <rv s="0">
    <v>536870912</v>
    <v>Seattle</v>
    <v>5fbba6b8-85e1-4d41-9444-d9055436e473</v>
    <v>en-US</v>
    <v>Map</v>
  </rv>
  <rv s="1">
    <fb>369.24361399999998</fb>
    <v>8</v>
  </rv>
  <rv s="2">
    <v>217</v>
    <v>6</v>
    <v>457</v>
    <v>7</v>
    <v>0</v>
    <v>Image of Seattle</v>
  </rv>
  <rv s="1">
    <fb>47.606209999999997</fb>
    <v>9</v>
  </rv>
  <rv s="0">
    <v>805306368</v>
    <v>Bruce Harrell (Mayor)</v>
    <v>a3002d35-4b06-4b03-40c7-10b98d6e23f2</v>
    <v>en-US</v>
    <v>Generic</v>
  </rv>
  <rv s="3">
    <v>181</v>
  </rv>
  <rv s="4">
    <v>https://www.bing.com/search?q=seattle&amp;form=skydnc</v>
    <v>Learn more on Bing</v>
  </rv>
  <rv s="1">
    <fb>-122.33207</fb>
    <v>9</v>
  </rv>
  <rv s="1">
    <fb>737015</fb>
    <v>8</v>
  </rv>
  <rv s="8">
    <v>#VALUE!</v>
    <v>en-US</v>
    <v>5fbba6b8-85e1-4d41-9444-d9055436e473</v>
    <v>536870912</v>
    <v>1</v>
    <v>458</v>
    <v>26</v>
    <v>Seattle</v>
    <v>4</v>
    <v>5</v>
    <v>Map</v>
    <v>6</v>
    <v>7</v>
    <v>1966</v>
    <v>1978</v>
    <v>2197</v>
    <v>4</v>
    <v>Seattle is a seaport city on the West Coast of the United States. It is the seat of King County, Washington. With a 2022 population of 749,256 it is the most populous city in both the state of Washington and the Pacific Northwest region of North ...</v>
    <v>2198</v>
    <v>2199</v>
    <v>2201</v>
    <v>2202</v>
    <v>2203</v>
    <v>Seattle</v>
    <v>2204</v>
    <v>44</v>
    <v>Seattle</v>
    <v>mdp/vdpid/4860655131336638465</v>
  </rv>
  <rv s="0">
    <v>536870912</v>
    <v>Sequim, Washington</v>
    <v>f00bb7c8-94bb-29bd-c098-afbbe35b2083</v>
    <v>en-US</v>
    <v>Map</v>
  </rv>
  <rv s="1">
    <fb>16.582920999999999</fb>
    <v>8</v>
  </rv>
  <rv s="2">
    <v>218</v>
    <v>6</v>
    <v>459</v>
    <v>7</v>
    <v>0</v>
    <v>Image of Sequim, Washington</v>
  </rv>
  <rv s="1">
    <fb>48.078055555555999</fb>
    <v>9</v>
  </rv>
  <rv s="0">
    <v>805306368</v>
    <v>Tom Ferrell (Mayor)</v>
    <v>86076b9d-12e0-d707-cee9-e76ac637fac6</v>
    <v>en-US</v>
    <v>Generic</v>
  </rv>
  <rv s="3">
    <v>182</v>
  </rv>
  <rv s="4">
    <v>https://www.bing.com/search?q=sequim+washington&amp;form=skydnc</v>
    <v>Learn more on Bing</v>
  </rv>
  <rv s="1">
    <fb>-123.10138888889</fb>
    <v>9</v>
  </rv>
  <rv s="1">
    <fb>8024</fb>
    <v>8</v>
  </rv>
  <rv s="8">
    <v>#VALUE!</v>
    <v>en-US</v>
    <v>f00bb7c8-94bb-29bd-c098-afbbe35b2083</v>
    <v>536870912</v>
    <v>1</v>
    <v>460</v>
    <v>26</v>
    <v>Sequim, Washington</v>
    <v>4</v>
    <v>5</v>
    <v>Map</v>
    <v>6</v>
    <v>7</v>
    <v>1966</v>
    <v>2134</v>
    <v>2207</v>
    <v>4</v>
    <v>Sequim is a city in Clallam County, Washington, United States. It is located along the Dungeness River near the base of the Olympic Mountains. The 2020 census counted a population of 8,018, with an estimated population in 2021 of 8,241.</v>
    <v>2208</v>
    <v>2209</v>
    <v>2211</v>
    <v>2212</v>
    <v>2213</v>
    <v>Sequim, Washington</v>
    <v>2214</v>
    <v>44</v>
    <v>Sequim, Washington</v>
    <v>mdp/vdpid/4859765385542500354</v>
  </rv>
  <rv s="0">
    <v>536870912</v>
    <v>Spokane, Washington</v>
    <v>d8ce2806-d84f-478e-ae92-9450685ed2b8</v>
    <v>en-US</v>
    <v>Map</v>
  </rv>
  <rv s="0">
    <v>536870912</v>
    <v>Spokane County</v>
    <v>69518b31-838e-e305-9341-cc1bf49db542</v>
    <v>en-US</v>
    <v>Map</v>
  </rv>
  <rv s="1">
    <fb>180.018452</fb>
    <v>8</v>
  </rv>
  <rv s="2">
    <v>219</v>
    <v>6</v>
    <v>461</v>
    <v>7</v>
    <v>0</v>
    <v>Image of Spokane, Washington</v>
  </rv>
  <rv s="1">
    <fb>47.6571944444444</fb>
    <v>9</v>
  </rv>
  <rv s="0">
    <v>805306368</v>
    <v>Nadine Woodward (Mayor)</v>
    <v>6b00606b-83ff-56d8-a356-4d055c6f2831</v>
    <v>en-US</v>
    <v>Generic</v>
  </rv>
  <rv s="3">
    <v>183</v>
  </rv>
  <rv s="4">
    <v>https://www.bing.com/search?q=spokane+washington&amp;form=skydnc</v>
    <v>Learn more on Bing</v>
  </rv>
  <rv s="1">
    <fb>-117.4235</fb>
    <v>9</v>
  </rv>
  <rv s="1">
    <fb>228989</fb>
    <v>8</v>
  </rv>
  <rv s="8">
    <v>#VALUE!</v>
    <v>en-US</v>
    <v>d8ce2806-d84f-478e-ae92-9450685ed2b8</v>
    <v>536870912</v>
    <v>1</v>
    <v>462</v>
    <v>26</v>
    <v>Spokane, Washington</v>
    <v>4</v>
    <v>5</v>
    <v>Map</v>
    <v>6</v>
    <v>7</v>
    <v>1966</v>
    <v>2217</v>
    <v>2218</v>
    <v>4</v>
    <v>Spokane is the most populous city in and seat of government of Spokane County Washington, United States. It is in eastern Washington, along the Spokane River, adjacent to the Selkirk Mountains, and west of the Rocky Mountain foothills, 92 miles ...</v>
    <v>2219</v>
    <v>2220</v>
    <v>2222</v>
    <v>2223</v>
    <v>2224</v>
    <v>Spokane, Washington</v>
    <v>2225</v>
    <v>44</v>
    <v>Spokane, Washington</v>
    <v>mdp/vdpid/4862798344042315777</v>
  </rv>
  <rv s="0">
    <v>536870912</v>
    <v>Tacoma, Washington</v>
    <v>aa44bc9d-f87d-4fa4-b592-2cfaa509277b</v>
    <v>en-US</v>
    <v>Map</v>
  </rv>
  <rv s="1">
    <fb>161.67562899999999</fb>
    <v>8</v>
  </rv>
  <rv s="2">
    <v>220</v>
    <v>6</v>
    <v>463</v>
    <v>7</v>
    <v>0</v>
    <v>Image of Tacoma, Washington</v>
  </rv>
  <rv s="1">
    <fb>47.241388888888999</fb>
    <v>9</v>
  </rv>
  <rv s="0">
    <v>805306368</v>
    <v>Victoria Woodards (Mayor)</v>
    <v>3418fa89-3606-6ba1-1b0f-1f23278c461f</v>
    <v>en-US</v>
    <v>Generic</v>
  </rv>
  <rv s="3">
    <v>184</v>
  </rv>
  <rv s="4">
    <v>https://www.bing.com/search?q=tacoma+washington&amp;form=skydnc</v>
    <v>Learn more on Bing</v>
  </rv>
  <rv s="1">
    <fb>-122.45944444444</fb>
    <v>9</v>
  </rv>
  <rv s="1">
    <fb>219346</fb>
    <v>8</v>
  </rv>
  <rv s="8">
    <v>#VALUE!</v>
    <v>en-US</v>
    <v>aa44bc9d-f87d-4fa4-b592-2cfaa509277b</v>
    <v>536870912</v>
    <v>1</v>
    <v>464</v>
    <v>26</v>
    <v>Tacoma, Washington</v>
    <v>4</v>
    <v>5</v>
    <v>Map</v>
    <v>6</v>
    <v>7</v>
    <v>1966</v>
    <v>1967</v>
    <v>2228</v>
    <v>4</v>
    <v>Tacoma is the county seat of Pierce County, Washington, United States. A port city, it is situated along Washington's Puget Sound, 32 miles southwest of Seattle, 36 miles southwest of Bellevue, 31 miles northeast of the state capital, Olympia, ...</v>
    <v>2229</v>
    <v>2230</v>
    <v>2232</v>
    <v>2233</v>
    <v>2234</v>
    <v>Tacoma, Washington</v>
    <v>2235</v>
    <v>44</v>
    <v>Tacoma, Washington</v>
    <v>mdp/vdpid/4860578326953066497</v>
  </rv>
  <rv s="0">
    <v>536870912</v>
    <v>Vancouver, Washington</v>
    <v>5e3e1359-4fab-49f5-aea2-89a31fb587bb</v>
    <v>en-US</v>
    <v>Map</v>
  </rv>
  <rv s="0">
    <v>536870912</v>
    <v>Clark County</v>
    <v>834c717b-6b40-bfdf-2de6-3103ef0cdbce</v>
    <v>en-US</v>
    <v>Map</v>
  </rv>
  <rv s="1">
    <fb>131.041684</fb>
    <v>8</v>
  </rv>
  <rv s="2">
    <v>221</v>
    <v>6</v>
    <v>465</v>
    <v>7</v>
    <v>0</v>
    <v>Image of Vancouver, Washington</v>
  </rv>
  <rv s="1">
    <fb>45.631111111111103</fb>
    <v>9</v>
  </rv>
  <rv s="0">
    <v>805306368</v>
    <v>Anne McEnerny-Ogle (Mayor)</v>
    <v>c0f079cb-4b2a-e463-22de-5ef700a47c6e</v>
    <v>en-US</v>
    <v>Generic</v>
  </rv>
  <rv s="3">
    <v>185</v>
  </rv>
  <rv s="4">
    <v>https://www.bing.com/search?q=vancouver+washington&amp;form=skydnc</v>
    <v>Learn more on Bing</v>
  </rv>
  <rv s="1">
    <fb>-122.67166666666699</fb>
    <v>9</v>
  </rv>
  <rv s="1">
    <fb>190915</fb>
    <v>8</v>
  </rv>
  <rv s="8">
    <v>#VALUE!</v>
    <v>en-US</v>
    <v>5e3e1359-4fab-49f5-aea2-89a31fb587bb</v>
    <v>536870912</v>
    <v>1</v>
    <v>466</v>
    <v>26</v>
    <v>Vancouver, Washington</v>
    <v>4</v>
    <v>5</v>
    <v>Map</v>
    <v>6</v>
    <v>7</v>
    <v>1966</v>
    <v>2238</v>
    <v>2239</v>
    <v>4</v>
    <v>Vancouver is a city on the north bank of the Columbia River in the U.S. state of Washington, located in Clark County. Founded in 1825 and incorporated in 1857, Vancouver had a population of 190,915 as of the 2020 census, making it the ...</v>
    <v>2240</v>
    <v>2241</v>
    <v>2243</v>
    <v>2244</v>
    <v>2245</v>
    <v>Vancouver, Washington</v>
    <v>2246</v>
    <v>44</v>
    <v>Vancouver, Washington</v>
    <v>mdp/vdpid/4860906118571884545</v>
  </rv>
  <rv s="0">
    <v>536870912</v>
    <v>Walla Walla, Washington</v>
    <v>d3202377-7c63-a603-4e3d-1f582248fe67</v>
    <v>en-US</v>
    <v>Map</v>
  </rv>
  <rv s="0">
    <v>536870912</v>
    <v>Walla Walla County</v>
    <v>bc3ef0c6-6726-af5e-d181-6c72c987a6d8</v>
    <v>en-US</v>
    <v>Map</v>
  </rv>
  <rv s="1">
    <fb>33.255567999999997</fb>
    <v>8</v>
  </rv>
  <rv s="2">
    <v>222</v>
    <v>6</v>
    <v>467</v>
    <v>7</v>
    <v>0</v>
    <v>Image of Walla Walla, Washington</v>
  </rv>
  <rv s="1">
    <fb>46.064999999999998</fb>
    <v>9</v>
  </rv>
  <rv s="0">
    <v>805306368</v>
    <v>Tom Scribner (Mayor)</v>
    <v>70f63c2a-8912-3e55-ab2f-aa3806959ad1</v>
    <v>en-US</v>
    <v>Generic</v>
  </rv>
  <rv s="3">
    <v>186</v>
  </rv>
  <rv s="4">
    <v>https://www.bing.com/search?q=walla+walla+washington&amp;form=skydnc</v>
    <v>Learn more on Bing</v>
  </rv>
  <rv s="1">
    <fb>-118.33027777778</fb>
    <v>9</v>
  </rv>
  <rv s="1">
    <fb>34060</fb>
    <v>8</v>
  </rv>
  <rv s="8">
    <v>#VALUE!</v>
    <v>en-US</v>
    <v>d3202377-7c63-a603-4e3d-1f582248fe67</v>
    <v>536870912</v>
    <v>1</v>
    <v>468</v>
    <v>26</v>
    <v>Walla Walla, Washington</v>
    <v>4</v>
    <v>5</v>
    <v>Map</v>
    <v>6</v>
    <v>7</v>
    <v>1966</v>
    <v>2249</v>
    <v>2250</v>
    <v>4</v>
    <v>Walla Walla is a city in and the seat of government of Walla Walla County, Washington, United States. It had a population of 34,060 at the 2020 census, estimated to have decreased to 33,927 as of 2021. The population of the city and its two ...</v>
    <v>2251</v>
    <v>2252</v>
    <v>2254</v>
    <v>2255</v>
    <v>2256</v>
    <v>Walla Walla, Washington</v>
    <v>2257</v>
    <v>44</v>
    <v>Walla Walla, Washington</v>
    <v>mdp/vdpid/4861545588048527361</v>
  </rv>
  <rv s="0">
    <v>536870912</v>
    <v>Wenatchee, Washington</v>
    <v>2705523c-20fd-5b4c-5116-b495645426ca</v>
    <v>en-US</v>
    <v>Map</v>
  </rv>
  <rv s="1">
    <fb>21.454067999999999</fb>
    <v>8</v>
  </rv>
  <rv s="2">
    <v>223</v>
    <v>6</v>
    <v>469</v>
    <v>7</v>
    <v>0</v>
    <v>Image of Wenatchee, Washington</v>
  </rv>
  <rv s="1">
    <fb>47.423333333332998</fb>
    <v>9</v>
  </rv>
  <rv s="0">
    <v>805306368</v>
    <v>Frank Kuntz (Mayor)</v>
    <v>49e55dab-9f28-ca94-e42d-b058cda3ba0b</v>
    <v>en-US</v>
    <v>Generic</v>
  </rv>
  <rv s="3">
    <v>187</v>
  </rv>
  <rv s="4">
    <v>https://www.bing.com/search?q=wenatchee+washington&amp;form=skydnc</v>
    <v>Learn more on Bing</v>
  </rv>
  <rv s="1">
    <fb>-120.32527777778</fb>
    <v>9</v>
  </rv>
  <rv s="1">
    <fb>35508</fb>
    <v>8</v>
  </rv>
  <rv s="8">
    <v>#VALUE!</v>
    <v>en-US</v>
    <v>2705523c-20fd-5b4c-5116-b495645426ca</v>
    <v>536870912</v>
    <v>1</v>
    <v>470</v>
    <v>26</v>
    <v>Wenatchee, Washington</v>
    <v>4</v>
    <v>5</v>
    <v>Map</v>
    <v>6</v>
    <v>7</v>
    <v>1966</v>
    <v>2102</v>
    <v>2260</v>
    <v>4</v>
    <v>Wenatchee is the county seat and most populous city of Chelan County, Washington, United States. The population within the city limits in 2010 was 31,925, and has increased to 35,508 as of 2020. Located in the north-central part of the state, at ...</v>
    <v>2261</v>
    <v>2262</v>
    <v>2264</v>
    <v>2265</v>
    <v>2266</v>
    <v>Wenatchee, Washington</v>
    <v>2267</v>
    <v>44</v>
    <v>Wenatchee, Washington</v>
    <v>mdp/vdpid/4861101670362251265</v>
  </rv>
  <rv s="0">
    <v>536870912</v>
    <v>Yakima, Washington</v>
    <v>de734a1e-5cee-4fc7-b975-6c8ae4d4b958</v>
    <v>en-US</v>
    <v>Map</v>
  </rv>
  <rv s="0">
    <v>536870912</v>
    <v>Yakima County</v>
    <v>4b620205-295f-f0ab-cd05-095c9bbd706a</v>
    <v>en-US</v>
    <v>Map</v>
  </rv>
  <rv s="1">
    <fb>71.713712999999998</fb>
    <v>8</v>
  </rv>
  <rv s="2">
    <v>224</v>
    <v>6</v>
    <v>471</v>
    <v>7</v>
    <v>0</v>
    <v>Image of Yakima, Washington</v>
  </rv>
  <rv s="1">
    <fb>46.601944444444001</fb>
    <v>9</v>
  </rv>
  <rv s="0">
    <v>805306368</v>
    <v>Janice Deccio (Mayor)</v>
    <v>2a935740-18b1-fbd8-e954-3531892a69e6</v>
    <v>en-US</v>
    <v>Generic</v>
  </rv>
  <rv s="3">
    <v>188</v>
  </rv>
  <rv s="4">
    <v>https://www.bing.com/search?q=yakima+washington&amp;form=skydnc</v>
    <v>Learn more on Bing</v>
  </rv>
  <rv s="1">
    <fb>-120.50777777778001</fb>
    <v>9</v>
  </rv>
  <rv s="1">
    <fb>96968</fb>
    <v>8</v>
  </rv>
  <rv s="8">
    <v>#VALUE!</v>
    <v>en-US</v>
    <v>de734a1e-5cee-4fc7-b975-6c8ae4d4b958</v>
    <v>536870912</v>
    <v>1</v>
    <v>472</v>
    <v>26</v>
    <v>Yakima, Washington</v>
    <v>4</v>
    <v>5</v>
    <v>Map</v>
    <v>6</v>
    <v>7</v>
    <v>1966</v>
    <v>2270</v>
    <v>2271</v>
    <v>4</v>
    <v>Yakima is a city in, and the county seat of, Yakima County, Washington, United States, and the state's 11th most populous city. As of the 2020 census, the city had a total population of 96,968 and a metropolitan population of 256,728. The ...</v>
    <v>2272</v>
    <v>2273</v>
    <v>2275</v>
    <v>2276</v>
    <v>2277</v>
    <v>Yakima, Washington</v>
    <v>2278</v>
    <v>44</v>
    <v>Yakima, Washington</v>
    <v>mdp/vdpid/4861171170046640129</v>
  </rv>
  <rv s="0">
    <v>536870912</v>
    <v>Athol, Idaho</v>
    <v>fb829f34-ded3-9990-2a37-1d17011f8669</v>
    <v>en-US</v>
    <v>Map</v>
  </rv>
  <rv s="0">
    <v>536870912</v>
    <v>Idaho</v>
    <v>ecd30387-20fa-4523-9045-e2860154b5e9</v>
    <v>en-US</v>
    <v>Map</v>
  </rv>
  <rv s="0">
    <v>536870912</v>
    <v>Kootenai County</v>
    <v>b6ca3cf0-a928-b55e-0de6-8ca36a1e39d2</v>
    <v>en-US</v>
    <v>Map</v>
  </rv>
  <rv s="1">
    <fb>2.0296110000000001</fb>
    <v>8</v>
  </rv>
  <rv s="2">
    <v>225</v>
    <v>6</v>
    <v>473</v>
    <v>7</v>
    <v>0</v>
    <v>Image of Athol, Idaho</v>
  </rv>
  <rv s="1">
    <fb>47.946100000000001</fb>
    <v>9</v>
  </rv>
  <rv s="4">
    <v>https://www.bing.com/search?q=athol+idaho&amp;form=skydnc</v>
    <v>Learn more on Bing</v>
  </rv>
  <rv s="1">
    <fb>-116.70699999999999</fb>
    <v>9</v>
  </rv>
  <rv s="1">
    <fb>709</fb>
    <v>8</v>
  </rv>
  <rv s="9">
    <v>#VALUE!</v>
    <v>en-US</v>
    <v>fb829f34-ded3-9990-2a37-1d17011f8669</v>
    <v>536870912</v>
    <v>1</v>
    <v>474</v>
    <v>61</v>
    <v>Athol, Idaho</v>
    <v>4</v>
    <v>5</v>
    <v>Map</v>
    <v>6</v>
    <v>7</v>
    <v>2281</v>
    <v>2282</v>
    <v>2283</v>
    <v>4</v>
    <v>Athol is a city in Kootenai County, Idaho, United States. The population was 709 at the 2020 census, up from 692 in 2010 census. It is part of the Coeur d'Alene Metropolitan Statistical Area, which includes the entire county.</v>
    <v>2284</v>
    <v>2285</v>
    <v>2286</v>
    <v>2287</v>
    <v>Athol, Idaho</v>
    <v>2288</v>
    <v>Athol, Idaho</v>
    <v>mdp/vdpid/4862150471613153281</v>
  </rv>
  <rv s="0">
    <v>536870912</v>
    <v>Boise, Idaho</v>
    <v>1054a9b9-ef41-4b77-9953-f1ef16ec8015</v>
    <v>en-US</v>
    <v>Map</v>
  </rv>
  <rv s="0">
    <v>536870912</v>
    <v>Ada County</v>
    <v>61b915e8-bf76-36c4-5ce8-a5a60558a819</v>
    <v>en-US</v>
    <v>Map</v>
  </rv>
  <rv s="1">
    <fb>216713.666</fb>
    <v>8</v>
  </rv>
  <rv s="2">
    <v>226</v>
    <v>6</v>
    <v>475</v>
    <v>7</v>
    <v>0</v>
    <v>Image of Boise, Idaho</v>
  </rv>
  <rv s="1">
    <fb>43.613611111110998</fb>
    <v>9</v>
  </rv>
  <rv s="0">
    <v>805306368</v>
    <v>Lauren McLean (Mayor)</v>
    <v>7e751018-c860-dcd5-43fb-1e41598d02fb</v>
    <v>en-US</v>
    <v>Generic</v>
  </rv>
  <rv s="3">
    <v>189</v>
  </rv>
  <rv s="4">
    <v>https://www.bing.com/search?q=boise+idaho&amp;form=skydnc</v>
    <v>Learn more on Bing</v>
  </rv>
  <rv s="1">
    <fb>-116.23777777778</fb>
    <v>9</v>
  </rv>
  <rv s="1">
    <fb>235684</fb>
    <v>8</v>
  </rv>
  <rv s="8">
    <v>#VALUE!</v>
    <v>en-US</v>
    <v>1054a9b9-ef41-4b77-9953-f1ef16ec8015</v>
    <v>536870912</v>
    <v>1</v>
    <v>476</v>
    <v>26</v>
    <v>Boise, Idaho</v>
    <v>4</v>
    <v>5</v>
    <v>Map</v>
    <v>6</v>
    <v>7</v>
    <v>2281</v>
    <v>2291</v>
    <v>2292</v>
    <v>4</v>
    <v>Boise is the capital and most populous city of the U.S. state of Idaho and is the county seat of Ada County. As of the 2020 census, there were 235,684 people residing in the city. On the Boise River in southwestern Idaho, it is 41 miles east of ...</v>
    <v>2293</v>
    <v>2294</v>
    <v>2296</v>
    <v>2297</v>
    <v>2298</v>
    <v>Boise, Idaho</v>
    <v>2299</v>
    <v>1733</v>
    <v>Boise, Idaho</v>
    <v>mdp/vdpid/5055534670653947905</v>
  </rv>
  <rv s="0">
    <v>536870912</v>
    <v>Bonners Ferry, Idaho</v>
    <v>5b95c226-e197-a412-7e37-591f28e80546</v>
    <v>en-US</v>
    <v>Map</v>
  </rv>
  <rv s="0">
    <v>536870912</v>
    <v>Boundary County</v>
    <v>cb95f5b4-dcae-6783-c2f0-390c816f9ee9</v>
    <v>en-US</v>
    <v>Map</v>
  </rv>
  <rv s="1">
    <fb>6.4973460000000003</fb>
    <v>8</v>
  </rv>
  <rv s="2">
    <v>227</v>
    <v>6</v>
    <v>477</v>
    <v>7</v>
    <v>0</v>
    <v>Image of Bonners Ferry, Idaho</v>
  </rv>
  <rv s="1">
    <fb>48.692222222222</fb>
    <v>9</v>
  </rv>
  <rv s="4">
    <v>https://www.bing.com/search?q=bonners+ferry+idaho&amp;form=skydnc</v>
    <v>Learn more on Bing</v>
  </rv>
  <rv s="1">
    <fb>-116.3175</fb>
    <v>9</v>
  </rv>
  <rv s="1">
    <fb>2520</fb>
    <v>8</v>
  </rv>
  <rv s="9">
    <v>#VALUE!</v>
    <v>en-US</v>
    <v>5b95c226-e197-a412-7e37-591f28e80546</v>
    <v>536870912</v>
    <v>1</v>
    <v>478</v>
    <v>61</v>
    <v>Bonners Ferry, Idaho</v>
    <v>4</v>
    <v>5</v>
    <v>Map</v>
    <v>6</v>
    <v>7</v>
    <v>2281</v>
    <v>2302</v>
    <v>2303</v>
    <v>4</v>
    <v>Bonners Ferry is the largest of two cities in and the county seat of Boundary County, Idaho, United States. The population was 2,543 at the 2010 census.</v>
    <v>2304</v>
    <v>2305</v>
    <v>2306</v>
    <v>2307</v>
    <v>Bonners Ferry, Idaho</v>
    <v>2308</v>
    <v>Bonners Ferry, Idaho</v>
    <v>mdp/vdpid/4862086010848149505</v>
  </rv>
  <rv s="0">
    <v>536870912</v>
    <v>Coeur d'Alene, Idaho</v>
    <v>4d31fa48-6f68-ff4d-4de3-96a974f0bf4d</v>
    <v>en-US</v>
    <v>Map</v>
  </rv>
  <rv s="1">
    <fb>41.870956999999997</fb>
    <v>8</v>
  </rv>
  <rv s="2">
    <v>228</v>
    <v>6</v>
    <v>479</v>
    <v>7</v>
    <v>0</v>
    <v>Image of Coeur d'Alene, Idaho</v>
  </rv>
  <rv s="1">
    <fb>47.692777777777998</fb>
    <v>9</v>
  </rv>
  <rv s="0">
    <v>805306368</v>
    <v>Jim Hammond (Mayor)</v>
    <v>f7c1b6b2-c2e6-8a0b-f82b-18a06fcd703f</v>
    <v>en-US</v>
    <v>Generic</v>
  </rv>
  <rv s="3">
    <v>190</v>
  </rv>
  <rv s="4">
    <v>https://www.bing.com/search?q=coeur+d%27alene+idaho&amp;form=skydnc</v>
    <v>Learn more on Bing</v>
  </rv>
  <rv s="1">
    <fb>-116.78</fb>
    <v>9</v>
  </rv>
  <rv s="1">
    <fb>54628</fb>
    <v>8</v>
  </rv>
  <rv s="8">
    <v>#VALUE!</v>
    <v>en-US</v>
    <v>4d31fa48-6f68-ff4d-4de3-96a974f0bf4d</v>
    <v>536870912</v>
    <v>1</v>
    <v>480</v>
    <v>26</v>
    <v>Coeur d'Alene, Idaho</v>
    <v>4</v>
    <v>5</v>
    <v>Map</v>
    <v>6</v>
    <v>7</v>
    <v>2281</v>
    <v>2282</v>
    <v>2311</v>
    <v>4</v>
    <v>Coeur d'Alene is a city and the county seat of Kootenai County, Idaho, United States. It is the largest city in North Idaho and the principal city of the Coeur d'Alene Metropolitan Statistical Area. At the 2020 census the city's population was ...</v>
    <v>2312</v>
    <v>2313</v>
    <v>2315</v>
    <v>2316</v>
    <v>2317</v>
    <v>Coeur d'Alene, Idaho</v>
    <v>2318</v>
    <v>44</v>
    <v>Coeur d'Alene, Idaho</v>
    <v>mdp/vdpid/4862809867657674753</v>
  </rv>
  <rv s="0">
    <v>536870912</v>
    <v>Grangeville, Idaho</v>
    <v>6e612e19-c489-5732-e8fd-af5903b82110</v>
    <v>en-US</v>
    <v>Map</v>
  </rv>
  <rv s="0">
    <v>536870912</v>
    <v>Idaho County</v>
    <v>bf9f8995-49f4-740e-25a2-4451171720e3</v>
    <v>en-US</v>
    <v>Map</v>
  </rv>
  <rv s="1">
    <fb>3.858152</fb>
    <v>8</v>
  </rv>
  <rv s="2">
    <v>229</v>
    <v>6</v>
    <v>481</v>
    <v>7</v>
    <v>0</v>
    <v>Image of Grangeville, Idaho</v>
  </rv>
  <rv s="1">
    <fb>45.926388888889001</fb>
    <v>9</v>
  </rv>
  <rv s="4">
    <v>https://www.bing.com/search?q=grangeville+idaho&amp;form=skydnc</v>
    <v>Learn more on Bing</v>
  </rv>
  <rv s="1">
    <fb>-116.12138888889</fb>
    <v>9</v>
  </rv>
  <rv s="1">
    <fb>3308</fb>
    <v>8</v>
  </rv>
  <rv s="9">
    <v>#VALUE!</v>
    <v>en-US</v>
    <v>6e612e19-c489-5732-e8fd-af5903b82110</v>
    <v>536870912</v>
    <v>1</v>
    <v>482</v>
    <v>61</v>
    <v>Grangeville, Idaho</v>
    <v>4</v>
    <v>5</v>
    <v>Map</v>
    <v>6</v>
    <v>7</v>
    <v>2281</v>
    <v>2321</v>
    <v>2322</v>
    <v>4</v>
    <v>Grangeville is the largest city in and the county seat of Idaho County, Idaho, United States, in the north central part of the state. Its population was 3,141 at the 2010 census, down from 3,228 in 2000.</v>
    <v>2323</v>
    <v>2324</v>
    <v>2325</v>
    <v>2326</v>
    <v>Grangeville, Idaho</v>
    <v>2327</v>
    <v>Grangeville, Idaho</v>
    <v>mdp/vdpid/4863213827568697345</v>
  </rv>
  <rv s="0">
    <v>536870912</v>
    <v>Kellogg, Idaho</v>
    <v>ad4b7783-a814-0457-29bf-add6907a431d</v>
    <v>en-US</v>
    <v>Map</v>
  </rv>
  <rv s="0">
    <v>536870912</v>
    <v>Shoshone County</v>
    <v>c093bef3-b73e-80b7-b834-9257fd1d9e53</v>
    <v>en-US</v>
    <v>Map</v>
  </rv>
  <rv s="1">
    <fb>10.38707</fb>
    <v>8</v>
  </rv>
  <rv s="2">
    <v>230</v>
    <v>6</v>
    <v>483</v>
    <v>7</v>
    <v>0</v>
    <v>Image of Kellogg, Idaho</v>
  </rv>
  <rv s="1">
    <fb>47.5383</fb>
    <v>9</v>
  </rv>
  <rv s="0">
    <v>805306368</v>
    <v>Mac Pooler (Mayor)</v>
    <v>b5ac2f2a-cf92-89b5-61eb-7c3dce4e2d52</v>
    <v>en-US</v>
    <v>Generic</v>
  </rv>
  <rv s="3">
    <v>191</v>
  </rv>
  <rv s="4">
    <v>https://www.bing.com/search?q=kellogg+idaho&amp;form=skydnc</v>
    <v>Learn more on Bing</v>
  </rv>
  <rv s="1">
    <fb>-116.125</fb>
    <v>9</v>
  </rv>
  <rv s="1">
    <fb>2314</fb>
    <v>8</v>
  </rv>
  <rv s="8">
    <v>#VALUE!</v>
    <v>en-US</v>
    <v>ad4b7783-a814-0457-29bf-add6907a431d</v>
    <v>536870912</v>
    <v>1</v>
    <v>484</v>
    <v>26</v>
    <v>Kellogg, Idaho</v>
    <v>4</v>
    <v>5</v>
    <v>Map</v>
    <v>6</v>
    <v>7</v>
    <v>2281</v>
    <v>2330</v>
    <v>2331</v>
    <v>4</v>
    <v>Kellogg is a city in the Silver Valley of Shoshone County, Idaho, United States, in the Idaho Panhandle region. The city lies near the Coeur d'Alene National Forest and about 36 miles east-southeast of Coeur d'Alene along Interstate 90. As of ...</v>
    <v>2332</v>
    <v>2333</v>
    <v>2335</v>
    <v>2336</v>
    <v>2337</v>
    <v>Kellogg, Idaho</v>
    <v>2338</v>
    <v>44</v>
    <v>Kellogg, Idaho</v>
    <v>mdp/vdpid/4862919090236293121</v>
  </rv>
  <rv s="0">
    <v>536870912</v>
    <v>Lewiston, Idaho</v>
    <v>aa3a97ac-3448-076d-7914-c954c52573f4</v>
    <v>en-US</v>
    <v>Map</v>
  </rv>
  <rv s="0">
    <v>536870912</v>
    <v>Nez Perce County</v>
    <v>f140a2ce-1741-7e99-c629-bc78fe744af8</v>
    <v>en-US</v>
    <v>Map</v>
  </rv>
  <rv s="1">
    <fb>46.828254000000001</fb>
    <v>8</v>
  </rv>
  <rv s="2">
    <v>231</v>
    <v>6</v>
    <v>485</v>
    <v>7</v>
    <v>0</v>
    <v>Image of Lewiston, Idaho</v>
  </rv>
  <rv s="1">
    <fb>46.400244999999998</fb>
    <v>9</v>
  </rv>
  <rv s="0">
    <v>805306368</v>
    <v>Dan G. Johnson (Mayor)</v>
    <v>83fec2a9-04d2-91ed-de11-7043c676f111</v>
    <v>en-US</v>
    <v>Generic</v>
  </rv>
  <rv s="3">
    <v>192</v>
  </rv>
  <rv s="4">
    <v>https://www.bing.com/search?q=lewiston+idaho&amp;form=skydnc</v>
    <v>Learn more on Bing</v>
  </rv>
  <rv s="1">
    <fb>-117.00103</fb>
    <v>9</v>
  </rv>
  <rv s="1">
    <fb>34203</fb>
    <v>8</v>
  </rv>
  <rv s="8">
    <v>#VALUE!</v>
    <v>en-US</v>
    <v>aa3a97ac-3448-076d-7914-c954c52573f4</v>
    <v>536870912</v>
    <v>1</v>
    <v>486</v>
    <v>26</v>
    <v>Lewiston, Idaho</v>
    <v>4</v>
    <v>5</v>
    <v>Map</v>
    <v>6</v>
    <v>7</v>
    <v>2281</v>
    <v>2341</v>
    <v>2342</v>
    <v>4</v>
    <v>Lewiston is a city and the county seat of Nez Perce County, Idaho, United States, in the state's north central region. It is the third-largest city in the northern Idaho region, behind Post Falls and Coeur d'Alene, and the twelfth-largest in the ...</v>
    <v>2343</v>
    <v>2344</v>
    <v>2346</v>
    <v>2347</v>
    <v>2348</v>
    <v>Lewiston, Idaho</v>
    <v>2349</v>
    <v>44</v>
    <v>Lewiston, Idaho</v>
    <v>mdp/vdpid/4862899642657931265</v>
  </rv>
  <rv s="0">
    <v>536870912</v>
    <v>McCall, Idaho</v>
    <v>373752ff-a7e5-5db8-3ee2-d61e5e6eaa29</v>
    <v>en-US</v>
    <v>Map</v>
  </rv>
  <rv s="0">
    <v>536870912</v>
    <v>Valley County</v>
    <v>ba1da0cf-9e94-a1d7-3aa3-bcb3b134a1e6</v>
    <v>en-US</v>
    <v>Map</v>
  </rv>
  <rv s="1">
    <fb>25.601165999999999</fb>
    <v>8</v>
  </rv>
  <rv s="2">
    <v>232</v>
    <v>6</v>
    <v>487</v>
    <v>7</v>
    <v>0</v>
    <v>Image of McCall, Idaho</v>
  </rv>
  <rv s="1">
    <fb>44.910829999999997</fb>
    <v>9</v>
  </rv>
  <rv s="0">
    <v>805306368</v>
    <v>Bob Giles (Mayor)</v>
    <v>5424735e-0b27-4779-43aa-f0431516a77d</v>
    <v>en-US</v>
    <v>Generic</v>
  </rv>
  <rv s="3">
    <v>193</v>
  </rv>
  <rv s="4">
    <v>https://www.bing.com/search?q=mccall+idaho&amp;form=skydnc</v>
    <v>Learn more on Bing</v>
  </rv>
  <rv s="1">
    <fb>-116.10306</fb>
    <v>9</v>
  </rv>
  <rv s="1">
    <fb>3686</fb>
    <v>8</v>
  </rv>
  <rv s="8">
    <v>#VALUE!</v>
    <v>en-US</v>
    <v>373752ff-a7e5-5db8-3ee2-d61e5e6eaa29</v>
    <v>536870912</v>
    <v>1</v>
    <v>488</v>
    <v>26</v>
    <v>McCall, Idaho</v>
    <v>4</v>
    <v>5</v>
    <v>Map</v>
    <v>6</v>
    <v>7</v>
    <v>2281</v>
    <v>2352</v>
    <v>2353</v>
    <v>4</v>
    <v>McCall is a resort town on the western edge of Valley County, Idaho, United States. Named after its founder, Tom McCall, it is situated on the southern shore of Payette Lake, near the center of the Payette National Forest. The population was ...</v>
    <v>2354</v>
    <v>2355</v>
    <v>2357</v>
    <v>2358</v>
    <v>2359</v>
    <v>McCall, Idaho</v>
    <v>2360</v>
    <v>1733</v>
    <v>McCall, Idaho</v>
    <v>mdp/vdpid/5055443468113936385</v>
  </rv>
  <rv s="0">
    <v>536870912</v>
    <v>Meridian, Idaho</v>
    <v>03256c32-645b-47e5-a087-22bfa77e4900</v>
    <v>en-US</v>
    <v>Map</v>
  </rv>
  <rv s="1">
    <fb>77.148777999999993</fb>
    <v>8</v>
  </rv>
  <rv s="2">
    <v>233</v>
    <v>6</v>
    <v>489</v>
    <v>7</v>
    <v>0</v>
    <v>Image of Meridian, Idaho</v>
  </rv>
  <rv s="1">
    <fb>43.614166666667003</fb>
    <v>9</v>
  </rv>
  <rv s="0">
    <v>805306368</v>
    <v>Robert Simison (Mayor)</v>
    <v>3f55ced6-91d8-6df0-f8b7-d8e371a0132c</v>
    <v>en-US</v>
    <v>Generic</v>
  </rv>
  <rv s="3">
    <v>194</v>
  </rv>
  <rv s="4">
    <v>https://www.bing.com/search?q=meridian+idaho&amp;form=skydnc</v>
    <v>Learn more on Bing</v>
  </rv>
  <rv s="1">
    <fb>-116.39888888889</fb>
    <v>9</v>
  </rv>
  <rv s="1">
    <fb>117635</fb>
    <v>8</v>
  </rv>
  <rv s="5">
    <v>#VALUE!</v>
    <v>en-US</v>
    <v>03256c32-645b-47e5-a087-22bfa77e4900</v>
    <v>536870912</v>
    <v>1</v>
    <v>490</v>
    <v>2</v>
    <v>Meridian, Idaho</v>
    <v>4</v>
    <v>5</v>
    <v>Map</v>
    <v>6</v>
    <v>7</v>
    <v>2281</v>
    <v>2291</v>
    <v>2363</v>
    <v>4</v>
    <v>Meridian is a city located in Ada County in the U.S. state of Idaho. As of the 2020 census, the population of Meridian was 117,635, making it the 2nd most populous city in the county and Idaho after Boise, the state capital. Meridian is ...</v>
    <v>2364</v>
    <v>2365</v>
    <v>2367</v>
    <v>2368</v>
    <v>2369</v>
    <v>Meridian, Idaho</v>
    <v>2370</v>
    <v>Meridian, Idaho</v>
    <v>mdp/vdpid/5055528037244731393</v>
  </rv>
  <rv s="0">
    <v>536870912</v>
    <v>Moscow, Idaho</v>
    <v>e546377c-9564-db9e-698b-4e7e033e5770</v>
    <v>en-US</v>
    <v>Map</v>
  </rv>
  <rv s="0">
    <v>536870912</v>
    <v>Latah County</v>
    <v>745a20ae-153d-2059-b164-cf1fa1464ecb</v>
    <v>en-US</v>
    <v>Map</v>
  </rv>
  <rv s="1">
    <fb>17.765564000000001</fb>
    <v>8</v>
  </rv>
  <rv s="2">
    <v>234</v>
    <v>6</v>
    <v>491</v>
    <v>7</v>
    <v>0</v>
    <v>Image of Moscow, Idaho</v>
  </rv>
  <rv s="1">
    <fb>46.731666666667003</fb>
    <v>9</v>
  </rv>
  <rv s="0">
    <v>805306368</v>
    <v>Art Bettge (Mayor)</v>
    <v>f72f2df9-b40f-4f59-73cf-4f5ee4247819</v>
    <v>en-US</v>
    <v>Generic</v>
  </rv>
  <rv s="3">
    <v>195</v>
  </rv>
  <rv s="4">
    <v>https://www.bing.com/search?q=moscow+idaho&amp;form=skydnc</v>
    <v>Learn more on Bing</v>
  </rv>
  <rv s="1">
    <fb>-116.99722222222</fb>
    <v>9</v>
  </rv>
  <rv s="1">
    <fb>25435</fb>
    <v>8</v>
  </rv>
  <rv s="5">
    <v>#VALUE!</v>
    <v>en-US</v>
    <v>e546377c-9564-db9e-698b-4e7e033e5770</v>
    <v>536870912</v>
    <v>1</v>
    <v>492</v>
    <v>2</v>
    <v>Moscow, Idaho</v>
    <v>4</v>
    <v>5</v>
    <v>Map</v>
    <v>6</v>
    <v>7</v>
    <v>2281</v>
    <v>2373</v>
    <v>2374</v>
    <v>4</v>
    <v>Moscow is a city and the county seat of Latah County, Idaho. Located in the North Central region of the state along the border with Washington, it had a population of 25,435 at the 2020 census. Moscow is the home of the University of Idaho, the ...</v>
    <v>2375</v>
    <v>2376</v>
    <v>2378</v>
    <v>2379</v>
    <v>2380</v>
    <v>Moscow, Idaho</v>
    <v>2381</v>
    <v>Moscow, Idaho</v>
    <v>mdp/vdpid/4862893769994797057</v>
  </rv>
  <rv s="0">
    <v>536870912</v>
    <v>Nampa, Idaho</v>
    <v>7c31d7d1-ab9b-4c4d-a9b5-6345e02e3ae1</v>
    <v>en-US</v>
    <v>Map</v>
  </rv>
  <rv s="0">
    <v>536870912</v>
    <v>Canyon County</v>
    <v>6bfe0bcd-8623-f426-867e-5447888e5ad1</v>
    <v>en-US</v>
    <v>Map</v>
  </rv>
  <rv s="1">
    <fb>81.170226999999997</fb>
    <v>8</v>
  </rv>
  <rv s="2">
    <v>235</v>
    <v>6</v>
    <v>493</v>
    <v>7</v>
    <v>0</v>
    <v>Image of Nampa, Idaho</v>
  </rv>
  <rv s="1">
    <fb>43.574722222222</fb>
    <v>9</v>
  </rv>
  <rv s="0">
    <v>805306368</v>
    <v>Debbie Kling (Mayor)</v>
    <v>3545aef4-b057-ee65-de11-b672f462b1ef</v>
    <v>en-US</v>
    <v>Generic</v>
  </rv>
  <rv s="3">
    <v>196</v>
  </rv>
  <rv s="4">
    <v>https://www.bing.com/search?q=nampa+idaho&amp;form=skydnc</v>
    <v>Learn more on Bing</v>
  </rv>
  <rv s="1">
    <fb>-116.56361111111001</fb>
    <v>9</v>
  </rv>
  <rv s="1">
    <fb>100200</fb>
    <v>8</v>
  </rv>
  <rv s="8">
    <v>#VALUE!</v>
    <v>en-US</v>
    <v>7c31d7d1-ab9b-4c4d-a9b5-6345e02e3ae1</v>
    <v>536870912</v>
    <v>1</v>
    <v>494</v>
    <v>26</v>
    <v>Nampa, Idaho</v>
    <v>4</v>
    <v>5</v>
    <v>Map</v>
    <v>6</v>
    <v>7</v>
    <v>2281</v>
    <v>2384</v>
    <v>2385</v>
    <v>4</v>
    <v>Nampa is the most populous city in Canyon County, Idaho, United States. Its population was 100,200 at the time of the 2020 census. It is Idaho's 3rd most populous city. Nampa is about 20 miles west of Boise along Interstate 84, and six miles ...</v>
    <v>2386</v>
    <v>2387</v>
    <v>2389</v>
    <v>2390</v>
    <v>2391</v>
    <v>Nampa, Idaho</v>
    <v>2392</v>
    <v>1733</v>
    <v>Nampa, Idaho</v>
    <v>mdp/vdpid/5055713506616147969</v>
  </rv>
  <rv s="0">
    <v>536870912</v>
    <v>Post Falls, Idaho</v>
    <v>aa8da33c-7590-a046-1d34-898198b5cb8b</v>
    <v>en-US</v>
    <v>Map</v>
  </rv>
  <rv s="1">
    <fb>37.296565000000001</fb>
    <v>8</v>
  </rv>
  <rv s="2">
    <v>236</v>
    <v>6</v>
    <v>495</v>
    <v>7</v>
    <v>0</v>
    <v>Image of Post Falls, Idaho</v>
  </rv>
  <rv s="1">
    <fb>47.712000000000003</fb>
    <v>9</v>
  </rv>
  <rv s="0">
    <v>805306368</v>
    <v>Ron Jacobson (Mayor)</v>
    <v>16225fdf-8e0c-95dc-3c5e-887c4f902175</v>
    <v>en-US</v>
    <v>Generic</v>
  </rv>
  <rv s="3">
    <v>197</v>
  </rv>
  <rv s="4">
    <v>https://www.bing.com/search?q=post+falls+idaho&amp;form=skydnc</v>
    <v>Learn more on Bing</v>
  </rv>
  <rv s="1">
    <fb>-116.94799999999999</fb>
    <v>9</v>
  </rv>
  <rv s="1">
    <fb>38485</fb>
    <v>8</v>
  </rv>
  <rv s="5">
    <v>#VALUE!</v>
    <v>en-US</v>
    <v>aa8da33c-7590-a046-1d34-898198b5cb8b</v>
    <v>536870912</v>
    <v>1</v>
    <v>496</v>
    <v>2</v>
    <v>Post Falls, Idaho</v>
    <v>4</v>
    <v>5</v>
    <v>Map</v>
    <v>6</v>
    <v>7</v>
    <v>2281</v>
    <v>2282</v>
    <v>2395</v>
    <v>4</v>
    <v>Post Falls is a city in Kootenai County, Idaho, United States. It is the gateway city to North Idaho on I-90 just west of Coeur d'Alene and east of Spokane, Washington. The population was 38,485 at the time of the 2020 census, up from 27,574 in ...</v>
    <v>2396</v>
    <v>2397</v>
    <v>2399</v>
    <v>2400</v>
    <v>2401</v>
    <v>Post Falls, Idaho</v>
    <v>2402</v>
    <v>Post Falls, Idaho</v>
    <v>mdp/vdpid/4862807387146289154</v>
  </rv>
  <rv s="0">
    <v>536870912</v>
    <v>Priest River, Idaho</v>
    <v>b60c22df-a857-309c-6d09-325bf51864f8</v>
    <v>en-US</v>
    <v>Map</v>
  </rv>
  <rv s="0">
    <v>536870912</v>
    <v>Bonner County</v>
    <v>b2f1b0ab-8efb-dfaa-9599-45cf74d7a50f</v>
    <v>en-US</v>
    <v>Map</v>
  </rv>
  <rv s="1">
    <fb>9.5710940000000004</fb>
    <v>8</v>
  </rv>
  <rv s="2">
    <v>237</v>
    <v>6</v>
    <v>497</v>
    <v>7</v>
    <v>0</v>
    <v>Image of Priest River, Idaho</v>
  </rv>
  <rv s="1">
    <fb>48.183300000000003</fb>
    <v>9</v>
  </rv>
  <rv s="0">
    <v>805306368</v>
    <v>Jim Martin (Mayor)</v>
    <v>3cc998e5-1448-5447-f712-e9a16f36b65e</v>
    <v>en-US</v>
    <v>Generic</v>
  </rv>
  <rv s="3">
    <v>198</v>
  </rv>
  <rv s="4">
    <v>https://www.bing.com/search?q=priest+river+idaho&amp;form=skydnc</v>
    <v>Learn more on Bing</v>
  </rv>
  <rv s="1">
    <fb>-116.90900000000001</fb>
    <v>9</v>
  </rv>
  <rv s="1">
    <fb>1696</fb>
    <v>8</v>
  </rv>
  <rv s="8">
    <v>#VALUE!</v>
    <v>en-US</v>
    <v>b60c22df-a857-309c-6d09-325bf51864f8</v>
    <v>536870912</v>
    <v>1</v>
    <v>498</v>
    <v>26</v>
    <v>Priest River, Idaho</v>
    <v>4</v>
    <v>5</v>
    <v>Map</v>
    <v>6</v>
    <v>7</v>
    <v>2281</v>
    <v>2405</v>
    <v>2406</v>
    <v>4</v>
    <v>Priest River is a city in Bonner County, Idaho. The population was 1,751 at the 2010 census. Located in the Idaho Panhandle region of the state, the city is at the mouth of the Priest River on the Pend Oreille River.</v>
    <v>2407</v>
    <v>2408</v>
    <v>2410</v>
    <v>2411</v>
    <v>2412</v>
    <v>Priest River, Idaho</v>
    <v>2413</v>
    <v>44</v>
    <v>Priest River, Idaho</v>
    <v>mdp/vdpid/4862038214388482050</v>
  </rv>
  <rv s="0">
    <v>536870912</v>
    <v>Sandpoint, Idaho</v>
    <v>e07fa17d-2e4a-9cdc-fce3-2514fac06677</v>
    <v>en-US</v>
    <v>Map</v>
  </rv>
  <rv s="1">
    <fb>12.418037</fb>
    <v>8</v>
  </rv>
  <rv s="2">
    <v>238</v>
    <v>6</v>
    <v>499</v>
    <v>7</v>
    <v>0</v>
    <v>Image of Sandpoint, Idaho</v>
  </rv>
  <rv s="1">
    <fb>48.276590300000002</fb>
    <v>9</v>
  </rv>
  <rv s="4">
    <v>https://www.bing.com/search?q=sandpoint+idaho&amp;form=skydnc</v>
    <v>Learn more on Bing</v>
  </rv>
  <rv s="1">
    <fb>-116.55324760000001</fb>
    <v>9</v>
  </rv>
  <rv s="1">
    <fb>8639</fb>
    <v>8</v>
  </rv>
  <rv s="9">
    <v>#VALUE!</v>
    <v>en-US</v>
    <v>e07fa17d-2e4a-9cdc-fce3-2514fac06677</v>
    <v>536870912</v>
    <v>1</v>
    <v>500</v>
    <v>61</v>
    <v>Sandpoint, Idaho</v>
    <v>4</v>
    <v>5</v>
    <v>Map</v>
    <v>6</v>
    <v>7</v>
    <v>2281</v>
    <v>2405</v>
    <v>2416</v>
    <v>4</v>
    <v>Sandpoint is the largest city in, and the county seat of, Bonner County, Idaho, United States. Its population was 8,639 at the 2020 census. Sandpoint's major economic contributors include forest products, light manufacturing, tourism, recreation ...</v>
    <v>2417</v>
    <v>2418</v>
    <v>2419</v>
    <v>2420</v>
    <v>Sandpoint, Idaho</v>
    <v>2421</v>
    <v>Sandpoint, Idaho</v>
    <v>mdp/vdpid/4862133866883710977</v>
  </rv>
  <rv s="0">
    <v>536870912</v>
    <v>Worley, Idaho</v>
    <v>3aa21ce7-4643-762c-62bc-9f84da2583c5</v>
    <v>en-US</v>
    <v>Map</v>
  </rv>
  <rv s="1">
    <fb>0.50248800000000005</fb>
    <v>8</v>
  </rv>
  <rv s="2">
    <v>239</v>
    <v>6</v>
    <v>501</v>
    <v>7</v>
    <v>0</v>
    <v>Image of Worley, Idaho</v>
  </rv>
  <rv s="1">
    <fb>47.3992</fb>
    <v>9</v>
  </rv>
  <rv s="4">
    <v>https://www.bing.com/search?q=worley+idaho&amp;form=skydnc</v>
    <v>Learn more on Bing</v>
  </rv>
  <rv s="1">
    <fb>-116.919</fb>
    <v>9</v>
  </rv>
  <rv s="1">
    <fb>253</fb>
    <v>8</v>
  </rv>
  <rv s="9">
    <v>#VALUE!</v>
    <v>en-US</v>
    <v>3aa21ce7-4643-762c-62bc-9f84da2583c5</v>
    <v>536870912</v>
    <v>1</v>
    <v>502</v>
    <v>61</v>
    <v>Worley, Idaho</v>
    <v>4</v>
    <v>5</v>
    <v>Map</v>
    <v>6</v>
    <v>7</v>
    <v>2281</v>
    <v>2282</v>
    <v>2424</v>
    <v>4</v>
    <v>Worley is a city in southwestern Kootenai County, Idaho, United States. The population was 257 at the 2010 census, up from 223 in 2000. The city is within the Coeur d'Alene Indian Reservation.</v>
    <v>2425</v>
    <v>2426</v>
    <v>2427</v>
    <v>2428</v>
    <v>Worley, Idaho</v>
    <v>2429</v>
    <v>Worley, Idaho</v>
    <v>mdp/vdpid/4862824252241346561</v>
  </rv>
  <rv s="0">
    <v>536870912</v>
    <v>Duncan, British Columbia</v>
    <v>0a627c46-ae23-d042-031f-3ede9733e536</v>
    <v>en-US</v>
    <v>Map</v>
  </rv>
  <rv s="0">
    <v>536870912</v>
    <v>British Columbia</v>
    <v>32a8fd1c-cd9d-0da9-35fb-f952ed824d4f</v>
    <v>en-US</v>
    <v>Map</v>
  </rv>
  <rv s="1">
    <fb>2.0699999999999998</fb>
    <v>8</v>
  </rv>
  <rv s="0">
    <v>536870912</v>
    <v>Canada</v>
    <v>370ed614-32e1-4326-a356-dc0a7dd56aaa</v>
    <v>en-US</v>
    <v>Map</v>
  </rv>
  <rv s="2">
    <v>240</v>
    <v>6</v>
    <v>503</v>
    <v>7</v>
    <v>0</v>
    <v>Image of Duncan, British Columbia</v>
  </rv>
  <rv s="1">
    <fb>48.778694444444</fb>
    <v>9</v>
  </rv>
  <rv s="0">
    <v>805306368</v>
    <v>Michelle Staples (Mayor)</v>
    <v>0f3cbb64-bd99-b3ab-1c3d-ac5a479806b2</v>
    <v>en-US</v>
    <v>Generic</v>
  </rv>
  <rv s="3">
    <v>199</v>
  </rv>
  <rv s="4">
    <v>https://www.bing.com/search?q=duncan+british+columbia&amp;form=skydnc</v>
    <v>Learn more on Bing</v>
  </rv>
  <rv s="1">
    <fb>-123.70786111111001</fb>
    <v>9</v>
  </rv>
  <rv s="1">
    <fb>4944</fb>
    <v>8</v>
  </rv>
  <rv s="14">
    <v>#VALUE!</v>
    <v>en-US</v>
    <v>0a627c46-ae23-d042-031f-3ede9733e536</v>
    <v>536870912</v>
    <v>1</v>
    <v>504</v>
    <v>378</v>
    <v>Duncan, British Columbia</v>
    <v>4</v>
    <v>5</v>
    <v>Map</v>
    <v>6</v>
    <v>505</v>
    <v>2432</v>
    <v>2433</v>
    <v>2434</v>
    <v>Duncan is a city on southern Vancouver Island in British Columbia, Canada. It is the smallest city by area in Canada. It was incorporated in 1912.</v>
    <v>2435</v>
    <v>2436</v>
    <v>2438</v>
    <v>2439</v>
    <v>2440</v>
    <v>Duncan, British Columbia</v>
    <v>2441</v>
    <v>Duncan, British Columbia</v>
    <v>mdp/vdpid/4859683473553620993</v>
  </rv>
  <rv s="0">
    <v>536870912</v>
    <v>Sooke</v>
    <v>54b50a2b-020c-4cea-0b61-992881efc887</v>
    <v>en-US</v>
    <v>Map</v>
  </rv>
  <rv s="1">
    <fb>56.62</fb>
    <v>8</v>
  </rv>
  <rv s="2">
    <v>241</v>
    <v>6</v>
    <v>506</v>
    <v>7</v>
    <v>0</v>
    <v>Image of Sooke</v>
  </rv>
  <rv s="1">
    <fb>48.376100000000001</fb>
    <v>9</v>
  </rv>
  <rv s="0">
    <v>805306368</v>
    <v>Maja Tait (Mayor)</v>
    <v>08c667db-0fd5-0561-19ad-ac42145c1387</v>
    <v>en-US</v>
    <v>Generic</v>
  </rv>
  <rv s="3">
    <v>200</v>
  </rv>
  <rv s="4">
    <v>https://www.bing.com/search?q=sooke+city&amp;form=skydnc</v>
    <v>Learn more on Bing</v>
  </rv>
  <rv s="1">
    <fb>-123.738</fb>
    <v>9</v>
  </rv>
  <rv s="1">
    <fb>13001</fb>
    <v>8</v>
  </rv>
  <rv s="11">
    <v>#VALUE!</v>
    <v>en-US</v>
    <v>54b50a2b-020c-4cea-0b61-992881efc887</v>
    <v>536870912</v>
    <v>1</v>
    <v>508</v>
    <v>230</v>
    <v>Sooke</v>
    <v>4</v>
    <v>5</v>
    <v>Map</v>
    <v>6</v>
    <v>505</v>
    <v>2432</v>
    <v>2444</v>
    <v>2434</v>
    <v>Sooke is a district municipality on the southern tip of Vancouver Island, Canada, 38 kilometres by road from Victoria, the capital of British Columbia. Sooke, the westernmost of Greater Victoria's Western Communities, is to the north and west of ...</v>
    <v>2445</v>
    <v>2446</v>
    <v>2448</v>
    <v>2449</v>
    <v>2450</v>
    <v>Sooke</v>
    <v>2451</v>
    <v>44</v>
    <v>Sooke</v>
    <v>mdp/vdpid/4859737028658462721</v>
  </rv>
  <rv s="0">
    <v>536870912</v>
    <v>Victoria, British Columbia</v>
    <v>e71268bc-25c5-d843-53b9-42a670bbb618</v>
    <v>en-US</v>
    <v>Map</v>
  </rv>
  <rv s="1">
    <fb>19.68</fb>
    <v>8</v>
  </rv>
  <rv s="2">
    <v>242</v>
    <v>6</v>
    <v>510</v>
    <v>7</v>
    <v>0</v>
    <v>Image of Victoria, British Columbia</v>
  </rv>
  <rv s="1">
    <fb>48.422150999999999</fb>
    <v>9</v>
  </rv>
  <rv s="0">
    <v>805306368</v>
    <v>Marianne Alto (Mayor)</v>
    <v>5fa952be-beae-61ba-8577-7ea63684cec1</v>
    <v>en-US</v>
    <v>Generic</v>
  </rv>
  <rv s="3">
    <v>201</v>
  </rv>
  <rv s="4">
    <v>https://www.bing.com/search?q=victoria+british+columbia&amp;form=skydnc</v>
    <v>Learn more on Bing</v>
  </rv>
  <rv s="1">
    <fb>-123.3657</fb>
    <v>9</v>
  </rv>
  <rv s="1">
    <fb>91867</fb>
    <v>8</v>
  </rv>
  <rv s="8">
    <v>#VALUE!</v>
    <v>en-US</v>
    <v>e71268bc-25c5-d843-53b9-42a670bbb618</v>
    <v>536870912</v>
    <v>1</v>
    <v>511</v>
    <v>26</v>
    <v>Victoria, British Columbia</v>
    <v>4</v>
    <v>5</v>
    <v>Map</v>
    <v>6</v>
    <v>512</v>
    <v>2432</v>
    <v>2432</v>
    <v>2454</v>
    <v>2434</v>
    <v>Victoria is the capital city of the Canadian province of British Columbia, on the southern tip of Vancouver Island off Canada's Pacific coast. The city has a population of 91,867, and the Greater Victoria area has a population of 397,237. The ...</v>
    <v>2455</v>
    <v>2456</v>
    <v>2458</v>
    <v>2459</v>
    <v>2460</v>
    <v>Victoria, British Columbia</v>
    <v>2461</v>
    <v>44</v>
    <v>Victoria, British Columbia</v>
    <v>mdp/vdpid/4859745080665178114</v>
  </rv>
  <rv s="0">
    <v>536870912</v>
    <v>Ensenada, Baja California</v>
    <v>cbb4cbc7-4b9a-7be9-f3a0-f8adc10ebfda</v>
    <v>en-US</v>
    <v>Map</v>
  </rv>
  <rv s="0">
    <v>536870912</v>
    <v>Baja California</v>
    <v>6b504587-24aa-0512-9ca8-180f7fa0f586</v>
    <v>en-US</v>
    <v>Map</v>
  </rv>
  <rv s="0">
    <v>536870912</v>
    <v>Ensenada Municipality</v>
    <v>92bc0fc4-d0e0-007b-2c51-a5a208554679</v>
    <v>en-US</v>
    <v>Map</v>
  </rv>
  <rv s="1">
    <fb>20</fb>
    <v>8</v>
  </rv>
  <rv s="0">
    <v>536870912</v>
    <v>Mexico</v>
    <v>8e475659-4bdc-d912-6494-affce0096bc1</v>
    <v>en-US</v>
    <v>Map</v>
  </rv>
  <rv s="2">
    <v>243</v>
    <v>6</v>
    <v>513</v>
    <v>7</v>
    <v>0</v>
    <v>Image of Ensenada, Baja California</v>
  </rv>
  <rv s="1">
    <fb>31.857777777778001</fb>
    <v>9</v>
  </rv>
  <rv s="3">
    <v>202</v>
  </rv>
  <rv s="4">
    <v>https://www.bing.com/search?q=ensenada+baja+california&amp;form=skydnc</v>
    <v>Learn more on Bing</v>
  </rv>
  <rv s="1">
    <fb>-116.60583333333</fb>
    <v>9</v>
  </rv>
  <rv s="1">
    <fb>557430</fb>
    <v>8</v>
  </rv>
  <rv s="5">
    <v>#VALUE!</v>
    <v>en-US</v>
    <v>cbb4cbc7-4b9a-7be9-f3a0-f8adc10ebfda</v>
    <v>536870912</v>
    <v>1</v>
    <v>514</v>
    <v>2</v>
    <v>Ensenada, Baja California</v>
    <v>4</v>
    <v>5</v>
    <v>Map</v>
    <v>6</v>
    <v>7</v>
    <v>2464</v>
    <v>2465</v>
    <v>2466</v>
    <v>2467</v>
    <v>Ensenada is a city in Ensenada Municipality, Baja California, situated on the Pacific Coast of Mexico. Located on the Bahía de Todos Santos, the city had a population of 279,765 in 2018, making it the third-largest city in Baja California. The ...</v>
    <v>2468</v>
    <v>2469</v>
    <v>2470</v>
    <v>2471</v>
    <v>2472</v>
    <v>Ensenada, Baja California</v>
    <v>2473</v>
    <v>Ensenada, Baja California</v>
    <v>mdp/vdpid/5073745162136453121</v>
  </rv>
  <rv s="0">
    <v>536870912</v>
    <v>Lázaro Cárdenas, Baja California</v>
    <v>3085cb48-d333-5295-1edc-9ac9cf4f2bf0</v>
    <v>en-US</v>
    <v>Map</v>
  </rv>
  <rv s="2">
    <v>244</v>
    <v>6</v>
    <v>515</v>
    <v>7</v>
    <v>0</v>
    <v>Image of Lázaro Cárdenas, Baja California</v>
  </rv>
  <rv s="1">
    <fb>30.560300000000002</fb>
    <v>9</v>
  </rv>
  <rv s="1">
    <fb>-115.94199999999999</fb>
    <v>9</v>
  </rv>
  <rv s="1">
    <fb>16294</fb>
    <v>8</v>
  </rv>
  <rv s="15">
    <v>#VALUE!</v>
    <v>en-US</v>
    <v>3085cb48-d333-5295-1edc-9ac9cf4f2bf0</v>
    <v>536870912</v>
    <v>1</v>
    <v>517</v>
    <v>518</v>
    <v>Lázaro Cárdenas, Baja California</v>
    <v>519</v>
    <v>5</v>
    <v>Map</v>
    <v>6</v>
    <v>520</v>
    <v>2464</v>
    <v>2467</v>
    <v>Lázaro Cárdenas is a city in San Quintín Municipality, Baja California, located on the Pacific Coast of Mexico. With a population of 16,294 and is the largest population center in the entire municipality, far surpassing the population of the ...</v>
    <v>2476</v>
    <v>2477</v>
    <v>2478</v>
    <v>Lázaro Cárdenas, Baja California</v>
    <v>2479</v>
    <v>Lázaro Cárdenas, Baja California</v>
  </rv>
  <rv s="0">
    <v>536870912</v>
    <v>Mexicali</v>
    <v>9377a83d-1b06-d1e1-d42b-9bc6105283db</v>
    <v>en-US</v>
    <v>Map</v>
  </rv>
  <rv s="0">
    <v>536870912</v>
    <v>Mexicali Municipality</v>
    <v>38b5e1f5-c16d-b9f0-36a8-07e5c34bdf9c</v>
    <v>en-US</v>
    <v>Map</v>
  </rv>
  <rv s="1">
    <fb>114</fb>
    <v>8</v>
  </rv>
  <rv s="2">
    <v>245</v>
    <v>6</v>
    <v>521</v>
    <v>7</v>
    <v>0</v>
    <v>Image of Mexicali</v>
  </rv>
  <rv s="1">
    <fb>32.663333333333</fb>
    <v>9</v>
  </rv>
  <rv s="4">
    <v>https://www.bing.com/search?q=mexicali&amp;form=skydnc</v>
    <v>Learn more on Bing</v>
  </rv>
  <rv s="1">
    <fb>-115.46777777778</fb>
    <v>9</v>
  </rv>
  <rv s="1">
    <fb>1034224</fb>
    <v>8</v>
  </rv>
  <rv s="9">
    <v>#VALUE!</v>
    <v>en-US</v>
    <v>9377a83d-1b06-d1e1-d42b-9bc6105283db</v>
    <v>536870912</v>
    <v>1</v>
    <v>522</v>
    <v>61</v>
    <v>Mexicali</v>
    <v>4</v>
    <v>5</v>
    <v>Map</v>
    <v>6</v>
    <v>523</v>
    <v>2464</v>
    <v>2482</v>
    <v>2483</v>
    <v>2467</v>
    <v>Mexicali is the capital city of the Mexican state of Baja California. The city, seat of the Mexicali Municipality, has a population of 689,775, according to the 2010 census, while the Calexico–Mexicali metropolitan area is home to 1,000,000 ...</v>
    <v>2484</v>
    <v>2485</v>
    <v>2486</v>
    <v>2487</v>
    <v>Mexicali</v>
    <v>2488</v>
    <v>Mexicali</v>
    <v>mdp/vdpid/5073581527607017474</v>
  </rv>
  <rv s="0">
    <v>536870912</v>
    <v>Rosarito</v>
    <v>4560b7d1-6456-1537-58d6-7c3e1976aad9</v>
    <v>en-US</v>
    <v>Map</v>
  </rv>
  <rv s="0">
    <v>536870912</v>
    <v>Playas de Rosarito Municipality</v>
    <v>2802d9d3-55ef-374b-3ce4-24fb15a7a2af</v>
    <v>en-US</v>
    <v>Map</v>
  </rv>
  <rv s="2">
    <v>246</v>
    <v>6</v>
    <v>524</v>
    <v>7</v>
    <v>0</v>
    <v>Image of Rosarito</v>
  </rv>
  <rv s="1">
    <fb>32.363611111111098</fb>
    <v>9</v>
  </rv>
  <rv s="4">
    <v>https://www.bing.com/search?q=rosarito+beach+mexico&amp;form=skydnc</v>
    <v>Learn more on Bing</v>
  </rv>
  <rv s="1">
    <fb>-117.054444444444</fb>
    <v>9</v>
  </rv>
  <rv s="1">
    <fb>100660</fb>
    <v>8</v>
  </rv>
  <rv s="13">
    <v>#VALUE!</v>
    <v>en-US</v>
    <v>4560b7d1-6456-1537-58d6-7c3e1976aad9</v>
    <v>536870912</v>
    <v>1</v>
    <v>525</v>
    <v>290</v>
    <v>Rosarito</v>
    <v>4</v>
    <v>5</v>
    <v>Map</v>
    <v>6</v>
    <v>526</v>
    <v>2464</v>
    <v>2491</v>
    <v>2467</v>
    <v>Rosarito is a coastal city in Playas de Rosarito Municipality, Baja California, on the Pacific Coast of Mexico. As of 2010, the city had a population of 65,278. Located 10 miles south of the US-Mexico border, Rosarito is a part of the greater ...</v>
    <v>2492</v>
    <v>2493</v>
    <v>2494</v>
    <v>2495</v>
    <v>Rosarito</v>
    <v>2496</v>
    <v>44</v>
    <v>Rosarito</v>
    <v>mdp/vdpid/5073442446415757313</v>
  </rv>
  <rv s="0">
    <v>536870912</v>
    <v>San Felipe, Baja California</v>
    <v>e2ccb77c-77a1-9b20-5cb2-92ae2dd9899c</v>
    <v>en-US</v>
    <v>Map</v>
  </rv>
  <rv s="2">
    <v>247</v>
    <v>6</v>
    <v>527</v>
    <v>7</v>
    <v>0</v>
    <v>Image of San Felipe, Baja California</v>
  </rv>
  <rv s="1">
    <fb>31.0275</fb>
    <v>9</v>
  </rv>
  <rv s="4">
    <v>https://www.bing.com/search?q=san+felipe+baja+california&amp;form=skydnc</v>
    <v>Learn more on Bing</v>
  </rv>
  <rv s="1">
    <fb>-114.83527777777999</fb>
    <v>9</v>
  </rv>
  <rv s="1">
    <fb>17143</fb>
    <v>8</v>
  </rv>
  <rv s="16">
    <v>#VALUE!</v>
    <v>en-US</v>
    <v>e2ccb77c-77a1-9b20-5cb2-92ae2dd9899c</v>
    <v>536870912</v>
    <v>1</v>
    <v>529</v>
    <v>530</v>
    <v>San Felipe, Baja California</v>
    <v>4</v>
    <v>5</v>
    <v>Map</v>
    <v>6</v>
    <v>526</v>
    <v>2464</v>
    <v>2482</v>
    <v>2467</v>
    <v>San Felipe is a coastal city in San Felipe Municipality, Baja California, located on the Gulf of California. The population of San Felipe was reported as 17,143 inhabitants in the 2020 Mexican Census. San Felipe is historically a fishing town. ...</v>
    <v>2499</v>
    <v>2500</v>
    <v>2501</v>
    <v>2502</v>
    <v>San Felipe, Baja California</v>
    <v>2503</v>
    <v>San Felipe, Baja California</v>
    <v>mdp/vdpid/5074251618589868033</v>
  </rv>
  <rv s="0">
    <v>536870912</v>
    <v>Tecate</v>
    <v>7160355a-00f7-4517-16bc-3c01593a3e18</v>
    <v>en-US</v>
    <v>Map</v>
  </rv>
  <rv s="0">
    <v>536870912</v>
    <v>Tecate Municipality</v>
    <v>2f3b95e0-99cd-6b02-9d6a-c4665065e4ae</v>
    <v>en-US</v>
    <v>Map</v>
  </rv>
  <rv s="2">
    <v>248</v>
    <v>6</v>
    <v>531</v>
    <v>7</v>
    <v>0</v>
    <v>Image of Tecate</v>
  </rv>
  <rv s="1">
    <fb>32.572777777777802</fb>
    <v>9</v>
  </rv>
  <rv s="4">
    <v>https://www.bing.com/search?q=tecate&amp;form=skydnc</v>
    <v>Learn more on Bing</v>
  </rv>
  <rv s="1">
    <fb>-116.62666666666701</fb>
    <v>9</v>
  </rv>
  <rv s="1">
    <fb>81059</fb>
    <v>8</v>
  </rv>
  <rv s="16">
    <v>#VALUE!</v>
    <v>en-US</v>
    <v>7160355a-00f7-4517-16bc-3c01593a3e18</v>
    <v>536870912</v>
    <v>1</v>
    <v>532</v>
    <v>530</v>
    <v>Tecate</v>
    <v>4</v>
    <v>5</v>
    <v>Map</v>
    <v>6</v>
    <v>526</v>
    <v>2464</v>
    <v>2506</v>
    <v>2467</v>
    <v>Tecate is a city in Tecate Municipality, Baja California. It is across the Mexico–US border from Tecate, California. As of 2019, the city had a population of 108,860 inhabitants, while the metropolitan area has a population of 132,406 ...</v>
    <v>2507</v>
    <v>2508</v>
    <v>2509</v>
    <v>2510</v>
    <v>Tecate</v>
    <v>2511</v>
    <v>Tecate</v>
    <v>mdp/vdpid/5073535449587253249</v>
  </rv>
  <rv s="0">
    <v>536870912</v>
    <v>Tijuana</v>
    <v>1e58832d-43ef-4c25-b05a-512cb17f6f5a</v>
    <v>en-US</v>
    <v>Map</v>
  </rv>
  <rv s="0">
    <v>536870912</v>
    <v>Tijuana Municipality</v>
    <v>da657058-d3b3-7859-313a-5639fa02ef0b</v>
    <v>en-US</v>
    <v>Map</v>
  </rv>
  <rv s="1">
    <fb>637</fb>
    <v>8</v>
  </rv>
  <rv s="2">
    <v>249</v>
    <v>6</v>
    <v>533</v>
    <v>7</v>
    <v>0</v>
    <v>Image of Tijuana</v>
  </rv>
  <rv s="1">
    <fb>32.536447000000003</fb>
    <v>9</v>
  </rv>
  <rv s="0">
    <v>805306368</v>
    <v>Montserrat Caballero Ramírez (Mayor)</v>
    <v>7865041f-d8f0-c12b-2768-cf9aebbcc352</v>
    <v>en-US</v>
    <v>Generic</v>
  </rv>
  <rv s="3">
    <v>203</v>
  </rv>
  <rv s="4">
    <v>https://www.bing.com/search?q=tijuana&amp;form=skydnc</v>
    <v>Learn more on Bing</v>
  </rv>
  <rv s="1">
    <fb>-117.037155</fb>
    <v>9</v>
  </rv>
  <rv s="1">
    <fb>1964788</fb>
    <v>8</v>
  </rv>
  <rv s="8">
    <v>#VALUE!</v>
    <v>en-US</v>
    <v>1e58832d-43ef-4c25-b05a-512cb17f6f5a</v>
    <v>536870912</v>
    <v>1</v>
    <v>534</v>
    <v>26</v>
    <v>Tijuana</v>
    <v>4</v>
    <v>5</v>
    <v>Map</v>
    <v>6</v>
    <v>523</v>
    <v>2464</v>
    <v>2514</v>
    <v>2515</v>
    <v>2467</v>
    <v>Tijuana is the largest city in the state of Baja California located on the northwestern Pacific Coast of Mexico. Tijuana is the municipal seat of the Tijuana Municipality and the hub of the Tijuana metropolitan area. It has a close proximity to ...</v>
    <v>2516</v>
    <v>2517</v>
    <v>2519</v>
    <v>2520</v>
    <v>2521</v>
    <v>Tijuana</v>
    <v>2522</v>
    <v>44</v>
    <v>Tijuana</v>
    <v>mdp/vdpid/5073440518747193345</v>
  </rv>
</rvData>
</file>

<file path=xl/richData/rdrichvaluestructure.xml><?xml version="1.0" encoding="utf-8"?>
<rvStructures xmlns="http://schemas.microsoft.com/office/spreadsheetml/2017/richdata" count="17">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rgest city"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rgest city"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Country/region" t="r"/>
    <k n="Description" t="s"/>
    <k n="Image" t="r"/>
    <k n="Latitude" t="r"/>
    <k n="Longitude" t="r"/>
    <k n="Name" t="s"/>
    <k n="Population" t="r"/>
    <k n="UniqueName"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Country/region" t="r"/>
    <k n="Description" t="s"/>
    <k n="Image" t="r"/>
    <k n="Latitude" t="r"/>
    <k n="LearnMoreOnLink" t="r"/>
    <k n="Longitude" t="r"/>
    <k n="Name" t="s"/>
    <k n="Population" t="r"/>
    <k n="UniqueName" t="s"/>
    <k n="VDPID/VSID" t="s"/>
  </s>
</rvStructures>
</file>

<file path=xl/richData/rdsupportingpropertybag.xml><?xml version="1.0" encoding="utf-8"?>
<supportingPropertyBags xmlns="http://schemas.microsoft.com/office/spreadsheetml/2017/richdata2">
  <spbArrays count="12">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Time zone(s)</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Area</v>
      <v t="s">Largest city</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1 (State/province/other)</v>
      <v t="s">Country/region</v>
      <v t="s">_SubLabel</v>
      <v t="s">Population</v>
      <v t="s">Area</v>
      <v t="s">Largest city</v>
      <v t="s">_Flags</v>
      <v t="s">VDPID/VSID</v>
      <v t="s">UniqueName</v>
      <v t="s">_DisplayString</v>
      <v t="s">LearnMoreOnLink</v>
      <v t="s">Time zone(s)</v>
      <v t="s">Image</v>
      <v t="s">Description</v>
    </a>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Description</v>
    </a>
    <a count="25">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_Flags</v>
      <v t="s">VDPID/VSID</v>
      <v t="s">UniqueName</v>
      <v t="s">_DisplayString</v>
      <v t="s">LearnMoreOnLink</v>
      <v t="s">Image</v>
      <v t="s">Description</v>
    </a>
    <a count="21">
      <v t="s">%EntityServiceId</v>
      <v t="s">%IsRefreshable</v>
      <v t="s">%EntityCulture</v>
      <v t="s">%EntityId</v>
      <v t="s">_Icon</v>
      <v t="s">_Provider</v>
      <v t="s">_Attribution</v>
      <v t="s">_Display</v>
      <v t="s">Name</v>
      <v t="s">_Format</v>
      <v t="s">Admin Division 1 (State/province/other)</v>
      <v t="s">Country/region</v>
      <v t="s">_SubLabel</v>
      <v t="s">Population</v>
      <v t="s">Latitude</v>
      <v t="s">Longitude</v>
      <v t="s">_Flags</v>
      <v t="s">UniqueName</v>
      <v t="s">_DisplayString</v>
      <v t="s">Image</v>
      <v t="s">Description</v>
    </a>
    <a count="24">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Latitude</v>
      <v t="s">Longitude</v>
      <v t="s">_Flags</v>
      <v t="s">VDPID/VSID</v>
      <v t="s">UniqueName</v>
      <v t="s">_DisplayString</v>
      <v t="s">LearnMoreOnLink</v>
      <v t="s">Image</v>
      <v t="s">Description</v>
    </a>
  </spbArrays>
  <spbData count="535">
    <spb s="0">
      <v xml:space="preserve">Wikipedia	</v>
      <v xml:space="preserve">CC BY-SA 3.0	</v>
      <v xml:space="preserve">https://en.wikipedia.org/wiki/Alturas,_California	</v>
      <v xml:space="preserve">https://creativecommons.org/licenses/by-sa/3.0	</v>
    </spb>
    <spb s="1">
      <v>0</v>
      <v>0</v>
      <v>0</v>
      <v>0</v>
      <v>0</v>
      <v>0</v>
      <v>0</v>
      <v>0</v>
      <v>0</v>
      <v>0</v>
    </spb>
    <spb s="2">
      <v>0</v>
      <v>Name</v>
      <v>LearnMoreOnLink</v>
    </spb>
    <spb s="3">
      <v>0</v>
      <v>0</v>
      <v>0</v>
    </spb>
    <spb s="4">
      <v>3</v>
      <v>3</v>
      <v>3</v>
    </spb>
    <spb s="5">
      <v>1</v>
      <v>2</v>
    </spb>
    <spb s="6">
      <v>https://www.bing.com</v>
      <v>https://www.bing.com/th?id=Ga%5Cbing_yt.png&amp;w=100&amp;h=40&amp;c=0&amp;pid=0.1</v>
      <v>Powered by Bing</v>
    </spb>
    <spb s="7">
      <v>square km</v>
      <v>2020</v>
    </spb>
    <spb s="8">
      <v>3</v>
    </spb>
    <spb s="8">
      <v>4</v>
    </spb>
    <spb s="0">
      <v xml:space="preserve">Wikipedia	</v>
      <v xml:space="preserve">CC BY-SA 3.0	</v>
      <v xml:space="preserve">https://en.wikipedia.org/wiki/Anaheim,_California	</v>
      <v xml:space="preserve">https://creativecommons.org/licenses/by-sa/3.0	</v>
    </spb>
    <spb s="1">
      <v>10</v>
      <v>10</v>
      <v>10</v>
      <v>10</v>
      <v>10</v>
      <v>10</v>
      <v>10</v>
      <v>10</v>
      <v>10</v>
      <v>10</v>
    </spb>
    <spb s="0">
      <v xml:space="preserve">Wikipedia	</v>
      <v xml:space="preserve">CC BY-SA 3.0	</v>
      <v xml:space="preserve">https://en.wikipedia.org/wiki/Antioch,_California	</v>
      <v xml:space="preserve">https://creativecommons.org/licenses/by-sa/3.0	</v>
    </spb>
    <spb s="1">
      <v>12</v>
      <v>12</v>
      <v>12</v>
      <v>12</v>
      <v>12</v>
      <v>12</v>
      <v>12</v>
      <v>12</v>
      <v>12</v>
      <v>12</v>
    </spb>
    <spb s="0">
      <v xml:space="preserve">Wikipedia	</v>
      <v xml:space="preserve">CC BY-SA 3.0	</v>
      <v xml:space="preserve">https://en.wikipedia.org/wiki/Arbuckle,_California	</v>
      <v xml:space="preserve">https://creativecommons.org/licenses/by-sa/3.0	</v>
    </spb>
    <spb s="1">
      <v>14</v>
      <v>14</v>
      <v>14</v>
      <v>14</v>
      <v>14</v>
      <v>14</v>
      <v>14</v>
      <v>14</v>
      <v>14</v>
      <v>14</v>
    </spb>
    <spb s="2">
      <v>1</v>
      <v>Name</v>
      <v>LearnMoreOnLink</v>
    </spb>
    <spb s="0">
      <v xml:space="preserve">Wikipedia	</v>
      <v xml:space="preserve">CC BY-SA 3.0	</v>
      <v xml:space="preserve">https://en.wikipedia.org/wiki/Atwater,_California	</v>
      <v xml:space="preserve">https://creativecommons.org/licenses/by-sa/3.0	</v>
    </spb>
    <spb s="1">
      <v>17</v>
      <v>17</v>
      <v>17</v>
      <v>17</v>
      <v>17</v>
      <v>17</v>
      <v>17</v>
      <v>17</v>
      <v>17</v>
      <v>17</v>
    </spb>
    <spb s="0">
      <v xml:space="preserve">Wikipedia	</v>
      <v xml:space="preserve">CC BY-SA 3.0	</v>
      <v xml:space="preserve">https://en.wikipedia.org/wiki/Merced_County,_California	</v>
      <v xml:space="preserve">https://creativecommons.org/licenses/by-sa/3.0	</v>
    </spb>
    <spb s="9">
      <v>19</v>
      <v>19</v>
      <v>19</v>
      <v>19</v>
      <v>19</v>
      <v>19</v>
      <v>19</v>
      <v>19</v>
    </spb>
    <spb s="2">
      <v>2</v>
      <v>Name</v>
      <v>LearnMoreOnLink</v>
    </spb>
    <spb s="0">
      <v xml:space="preserve">Wikipedia	</v>
      <v xml:space="preserve">CC BY-SA 3.0	</v>
      <v xml:space="preserve">https://en.wikipedia.org/wiki/Merced,_California	</v>
      <v xml:space="preserve">https://creativecommons.org/licenses/by-sa/3.0	</v>
    </spb>
    <spb s="1">
      <v>22</v>
      <v>22</v>
      <v>22</v>
      <v>22</v>
      <v>22</v>
      <v>22</v>
      <v>22</v>
      <v>22</v>
      <v>22</v>
      <v>22</v>
    </spb>
    <spb s="0">
      <v xml:space="preserve">Wikipedia	</v>
      <v xml:space="preserve">CC BY-SA 3.0	</v>
      <v xml:space="preserve">https://en.wikipedia.org/wiki/Avalon,_California	</v>
      <v xml:space="preserve">https://creativecommons.org/licenses/by-sa/3.0	</v>
    </spb>
    <spb s="1">
      <v>24</v>
      <v>24</v>
      <v>24</v>
      <v>24</v>
      <v>24</v>
      <v>24</v>
      <v>24</v>
      <v>24</v>
      <v>24</v>
      <v>24</v>
    </spb>
    <spb s="2">
      <v>3</v>
      <v>Name</v>
      <v>LearnMoreOnLink</v>
    </spb>
    <spb s="0">
      <v xml:space="preserve">Wikipedia	</v>
      <v xml:space="preserve">CC BY-SA 3.0	</v>
      <v xml:space="preserve">https://en.wikipedia.org/wiki/Bakersfield,_California	</v>
      <v xml:space="preserve">https://creativecommons.org/licenses/by-sa/3.0	</v>
    </spb>
    <spb s="1">
      <v>27</v>
      <v>27</v>
      <v>27</v>
      <v>27</v>
      <v>27</v>
      <v>27</v>
      <v>27</v>
      <v>27</v>
      <v>27</v>
      <v>27</v>
    </spb>
    <spb s="0">
      <v xml:space="preserve">Wikipedia	</v>
      <v xml:space="preserve">CC BY-SA 3.0	</v>
      <v xml:space="preserve">https://en.wikipedia.org/wiki/Barstow,_California	</v>
      <v xml:space="preserve">https://creativecommons.org/licenses/by-sa/3.0	</v>
    </spb>
    <spb s="1">
      <v>29</v>
      <v>29</v>
      <v>29</v>
      <v>29</v>
      <v>29</v>
      <v>29</v>
      <v>29</v>
      <v>29</v>
      <v>29</v>
      <v>29</v>
    </spb>
    <spb s="0">
      <v xml:space="preserve">Wikipedia	</v>
      <v xml:space="preserve">CC BY-SA 3.0	</v>
      <v xml:space="preserve">https://en.wikipedia.org/wiki/Beaumont,_California	</v>
      <v xml:space="preserve">https://creativecommons.org/licenses/by-sa/3.0	</v>
    </spb>
    <spb s="1">
      <v>31</v>
      <v>31</v>
      <v>31</v>
      <v>31</v>
      <v>31</v>
      <v>31</v>
      <v>31</v>
      <v>31</v>
      <v>31</v>
      <v>31</v>
    </spb>
    <spb s="0">
      <v xml:space="preserve">Wikipedia	</v>
      <v xml:space="preserve">CC BY-SA 3.0	</v>
      <v xml:space="preserve">https://en.wikipedia.org/wiki/Berkeley,_California	</v>
      <v xml:space="preserve">https://creativecommons.org/licenses/by-sa/3.0	</v>
    </spb>
    <spb s="1">
      <v>33</v>
      <v>33</v>
      <v>33</v>
      <v>33</v>
      <v>33</v>
      <v>33</v>
      <v>33</v>
      <v>33</v>
      <v>33</v>
      <v>33</v>
    </spb>
    <spb s="0">
      <v xml:space="preserve">Wikipedia	</v>
      <v xml:space="preserve">CC BY-SA 3.0	</v>
      <v xml:space="preserve">https://en.wikipedia.org/wiki/Big_Pine,_California	</v>
      <v xml:space="preserve">https://creativecommons.org/licenses/by-sa/3.0	</v>
    </spb>
    <spb s="1">
      <v>35</v>
      <v>35</v>
      <v>35</v>
      <v>35</v>
      <v>35</v>
      <v>35</v>
      <v>35</v>
      <v>35</v>
      <v>35</v>
      <v>35</v>
    </spb>
    <spb s="0">
      <v xml:space="preserve">Wikipedia	</v>
      <v xml:space="preserve">CC BY-SA 3.0	</v>
      <v xml:space="preserve">https://en.wikipedia.org/wiki/Bishop,_California	</v>
      <v xml:space="preserve">https://creativecommons.org/licenses/by-sa/3.0	</v>
    </spb>
    <spb s="1">
      <v>37</v>
      <v>37</v>
      <v>37</v>
      <v>37</v>
      <v>37</v>
      <v>37</v>
      <v>37</v>
      <v>37</v>
      <v>37</v>
      <v>37</v>
    </spb>
    <spb s="0">
      <v xml:space="preserve">Wikipedia	</v>
      <v xml:space="preserve">CC BY-SA 3.0	</v>
      <v xml:space="preserve">https://en.wikipedia.org/wiki/Bodega_Bay,_California	</v>
      <v xml:space="preserve">https://creativecommons.org/licenses/by-sa/3.0	</v>
    </spb>
    <spb s="1">
      <v>39</v>
      <v>39</v>
      <v>39</v>
      <v>39</v>
      <v>39</v>
      <v>39</v>
      <v>39</v>
      <v>39</v>
      <v>39</v>
      <v>39</v>
    </spb>
    <spb s="0">
      <v xml:space="preserve">Wikipedia	</v>
      <v xml:space="preserve">CC BY-SA 3.0	</v>
      <v xml:space="preserve">https://en.wikipedia.org/wiki/Brawley,_California	</v>
      <v xml:space="preserve">https://creativecommons.org/licenses/by-sa/3.0	</v>
    </spb>
    <spb s="1">
      <v>41</v>
      <v>41</v>
      <v>41</v>
      <v>41</v>
      <v>41</v>
      <v>41</v>
      <v>41</v>
      <v>41</v>
      <v>41</v>
      <v>41</v>
    </spb>
    <spb s="0">
      <v xml:space="preserve">Wikipedia	</v>
      <v xml:space="preserve">CC BY-SA 3.0	</v>
      <v xml:space="preserve">https://en.wikipedia.org/wiki/Brentwood,_California	</v>
      <v xml:space="preserve">https://creativecommons.org/licenses/by-sa/3.0	</v>
    </spb>
    <spb s="1">
      <v>43</v>
      <v>43</v>
      <v>43</v>
      <v>43</v>
      <v>43</v>
      <v>43</v>
      <v>43</v>
      <v>43</v>
      <v>43</v>
      <v>43</v>
    </spb>
    <spb s="0">
      <v xml:space="preserve">Wikipedia	</v>
      <v xml:space="preserve">CC BY-SA 3.0	</v>
      <v xml:space="preserve">https://en.wikipedia.org/wiki/Bridgeport,_California	</v>
      <v xml:space="preserve">https://creativecommons.org/licenses/by-sa/3.0	</v>
    </spb>
    <spb s="1">
      <v>45</v>
      <v>45</v>
      <v>45</v>
      <v>45</v>
      <v>45</v>
      <v>45</v>
      <v>45</v>
      <v>45</v>
      <v>45</v>
      <v>45</v>
    </spb>
    <spb s="0">
      <v xml:space="preserve">Wikipedia	</v>
      <v xml:space="preserve">CC BY-SA 3.0	</v>
      <v xml:space="preserve">https://en.wikipedia.org/wiki/Carlsbad,_California	</v>
      <v xml:space="preserve">https://creativecommons.org/licenses/by-sa/3.0	</v>
    </spb>
    <spb s="1">
      <v>47</v>
      <v>47</v>
      <v>47</v>
      <v>47</v>
      <v>47</v>
      <v>47</v>
      <v>47</v>
      <v>47</v>
      <v>47</v>
      <v>47</v>
    </spb>
    <spb s="0">
      <v xml:space="preserve">Wikipedia	</v>
      <v xml:space="preserve">CC BY-SA 3.0	</v>
      <v xml:space="preserve">https://en.wikipedia.org/wiki/Chester,_California	</v>
      <v xml:space="preserve">https://creativecommons.org/licenses/by-sa/3.0	</v>
    </spb>
    <spb s="1">
      <v>49</v>
      <v>49</v>
      <v>49</v>
      <v>49</v>
      <v>49</v>
      <v>49</v>
      <v>49</v>
      <v>49</v>
      <v>49</v>
      <v>49</v>
    </spb>
    <spb s="0">
      <v xml:space="preserve">Wikipedia	</v>
      <v xml:space="preserve">CC BY-SA 3.0	</v>
      <v xml:space="preserve">https://en.wikipedia.org/wiki/Chico,_California	</v>
      <v xml:space="preserve">https://creativecommons.org/licenses/by-sa/3.0	</v>
    </spb>
    <spb s="1">
      <v>51</v>
      <v>51</v>
      <v>51</v>
      <v>51</v>
      <v>51</v>
      <v>51</v>
      <v>51</v>
      <v>51</v>
      <v>51</v>
      <v>51</v>
    </spb>
    <spb s="0">
      <v xml:space="preserve">Wikipedia	</v>
      <v xml:space="preserve">CC BY-SA 3.0	</v>
      <v xml:space="preserve">https://en.wikipedia.org/wiki/Chino,_California	</v>
      <v xml:space="preserve">https://creativecommons.org/licenses/by-sa/3.0	</v>
    </spb>
    <spb s="1">
      <v>53</v>
      <v>53</v>
      <v>53</v>
      <v>53</v>
      <v>53</v>
      <v>53</v>
      <v>53</v>
      <v>53</v>
      <v>53</v>
      <v>53</v>
    </spb>
    <spb s="0">
      <v xml:space="preserve">Wikipedia	</v>
      <v xml:space="preserve">CC BY-SA 3.0	</v>
      <v xml:space="preserve">https://en.wikipedia.org/wiki/Chowchilla,_California	</v>
      <v xml:space="preserve">https://creativecommons.org/licenses/by-sa/3.0	</v>
    </spb>
    <spb s="1">
      <v>55</v>
      <v>55</v>
      <v>55</v>
      <v>55</v>
      <v>55</v>
      <v>55</v>
      <v>55</v>
      <v>55</v>
      <v>55</v>
      <v>55</v>
    </spb>
    <spb s="0">
      <v xml:space="preserve">Wikipedia	</v>
      <v xml:space="preserve">CC BY-SA 3.0	</v>
      <v xml:space="preserve">https://en.wikipedia.org/wiki/Chula_Vista,_California	</v>
      <v xml:space="preserve">https://creativecommons.org/licenses/by-sa/3.0	</v>
    </spb>
    <spb s="1">
      <v>57</v>
      <v>57</v>
      <v>57</v>
      <v>57</v>
      <v>57</v>
      <v>57</v>
      <v>57</v>
      <v>57</v>
      <v>57</v>
      <v>57</v>
    </spb>
    <spb s="0">
      <v xml:space="preserve">Wikipedia	</v>
      <v xml:space="preserve">CC BY-SA 3.0	</v>
      <v xml:space="preserve">https://en.wikipedia.org/wiki/Clearlake,_California	</v>
      <v xml:space="preserve">https://creativecommons.org/licenses/by-sa/3.0	</v>
    </spb>
    <spb s="1">
      <v>59</v>
      <v>59</v>
      <v>59</v>
      <v>59</v>
      <v>59</v>
      <v>59</v>
      <v>59</v>
      <v>59</v>
      <v>59</v>
      <v>59</v>
    </spb>
    <spb s="2">
      <v>4</v>
      <v>Name</v>
      <v>LearnMoreOnLink</v>
    </spb>
    <spb s="0">
      <v xml:space="preserve">Wikipedia	</v>
      <v xml:space="preserve">CC BY-SA 3.0	</v>
      <v xml:space="preserve">https://en.wikipedia.org/wiki/Clovis,_California	</v>
      <v xml:space="preserve">https://creativecommons.org/licenses/by-sa/3.0	</v>
    </spb>
    <spb s="1">
      <v>62</v>
      <v>62</v>
      <v>62</v>
      <v>62</v>
      <v>62</v>
      <v>62</v>
      <v>62</v>
      <v>62</v>
      <v>62</v>
      <v>62</v>
    </spb>
    <spb s="0">
      <v xml:space="preserve">Wikipedia	</v>
      <v xml:space="preserve">CC BY-SA 3.0	</v>
      <v xml:space="preserve">https://en.wikipedia.org/wiki/Concord,_California	</v>
      <v xml:space="preserve">https://creativecommons.org/licenses/by-sa/3.0	</v>
    </spb>
    <spb s="1">
      <v>64</v>
      <v>64</v>
      <v>64</v>
      <v>64</v>
      <v>64</v>
      <v>64</v>
      <v>64</v>
      <v>64</v>
      <v>64</v>
      <v>64</v>
    </spb>
    <spb s="0">
      <v xml:space="preserve">Wikipedia	</v>
      <v xml:space="preserve">CC BY-SA 3.0	</v>
      <v xml:space="preserve">https://en.wikipedia.org/wiki/Corona,_California	</v>
      <v xml:space="preserve">https://creativecommons.org/licenses/by-sa/3.0	</v>
    </spb>
    <spb s="1">
      <v>66</v>
      <v>66</v>
      <v>66</v>
      <v>66</v>
      <v>66</v>
      <v>66</v>
      <v>66</v>
      <v>66</v>
      <v>66</v>
      <v>66</v>
    </spb>
    <spb s="0">
      <v xml:space="preserve">Wikipedia	</v>
      <v xml:space="preserve">CC BY-SA 3.0	</v>
      <v xml:space="preserve">https://en.wikipedia.org/wiki/Covelo,_California	</v>
      <v xml:space="preserve">https://creativecommons.org/licenses/by-sa/3.0	</v>
    </spb>
    <spb s="1">
      <v>68</v>
      <v>68</v>
      <v>68</v>
      <v>68</v>
      <v>68</v>
      <v>68</v>
      <v>68</v>
      <v>68</v>
      <v>68</v>
      <v>68</v>
    </spb>
    <spb s="0">
      <v xml:space="preserve">Wikipedia	</v>
      <v xml:space="preserve">CC BY-SA 3.0	</v>
      <v xml:space="preserve">https://en.wikipedia.org/wiki/Mendocino_County,_California	</v>
      <v xml:space="preserve">https://creativecommons.org/licenses/by-sa/3.0	</v>
    </spb>
    <spb s="9">
      <v>70</v>
      <v>70</v>
      <v>70</v>
      <v>70</v>
      <v>70</v>
      <v>70</v>
      <v>70</v>
      <v>70</v>
    </spb>
    <spb s="2">
      <v>5</v>
      <v>Name</v>
      <v>LearnMoreOnLink</v>
    </spb>
    <spb s="10">
      <v>3</v>
      <v>3</v>
      <v>3</v>
      <v>3</v>
    </spb>
    <spb s="0">
      <v xml:space="preserve">Wikipedia	</v>
      <v xml:space="preserve">CC BY-SA 3.0	</v>
      <v xml:space="preserve">https://en.wikipedia.org/wiki/Ukiah,_California	</v>
      <v xml:space="preserve">https://creativecommons.org/licenses/by-sa/3.0	</v>
    </spb>
    <spb s="1">
      <v>74</v>
      <v>74</v>
      <v>74</v>
      <v>74</v>
      <v>74</v>
      <v>74</v>
      <v>74</v>
      <v>74</v>
      <v>74</v>
      <v>74</v>
    </spb>
    <spb s="0">
      <v xml:space="preserve">Wikipedia	</v>
      <v xml:space="preserve">CC BY-SA 3.0	</v>
      <v xml:space="preserve">https://en.wikipedia.org/wiki/Crescent_City,_California	</v>
      <v xml:space="preserve">https://creativecommons.org/licenses/by-sa/3.0	</v>
    </spb>
    <spb s="1">
      <v>76</v>
      <v>76</v>
      <v>76</v>
      <v>76</v>
      <v>76</v>
      <v>76</v>
      <v>76</v>
      <v>76</v>
      <v>76</v>
      <v>76</v>
    </spb>
    <spb s="0">
      <v xml:space="preserve">Wikipedia	</v>
      <v xml:space="preserve">CC BY-SA 3.0	</v>
      <v xml:space="preserve">https://en.wikipedia.org/wiki/Crescent_Mills,_California	</v>
      <v xml:space="preserve">https://creativecommons.org/licenses/by-sa/3.0	</v>
    </spb>
    <spb s="1">
      <v>78</v>
      <v>78</v>
      <v>78</v>
      <v>78</v>
      <v>78</v>
      <v>78</v>
      <v>78</v>
      <v>78</v>
      <v>78</v>
      <v>78</v>
    </spb>
    <spb s="0">
      <v xml:space="preserve">Wikipedia	</v>
      <v xml:space="preserve">CC BY-SA 3.0	</v>
      <v xml:space="preserve">https://en.wikipedia.org/wiki/Davis,_California	</v>
      <v xml:space="preserve">https://creativecommons.org/licenses/by-sa/3.0	</v>
    </spb>
    <spb s="1">
      <v>80</v>
      <v>80</v>
      <v>80</v>
      <v>80</v>
      <v>80</v>
      <v>80</v>
      <v>80</v>
      <v>80</v>
      <v>80</v>
      <v>80</v>
    </spb>
    <spb s="0">
      <v xml:space="preserve">Wikipedia	</v>
      <v xml:space="preserve">CC BY-SA 3.0	</v>
      <v xml:space="preserve">https://en.wikipedia.org/wiki/Downey,_California	</v>
      <v xml:space="preserve">https://creativecommons.org/licenses/by-sa/3.0	</v>
    </spb>
    <spb s="1">
      <v>82</v>
      <v>82</v>
      <v>82</v>
      <v>82</v>
      <v>82</v>
      <v>82</v>
      <v>82</v>
      <v>82</v>
      <v>82</v>
      <v>82</v>
    </spb>
    <spb s="0">
      <v xml:space="preserve">Wikipedia	</v>
      <v xml:space="preserve">CC BY-SA 3.0	</v>
      <v xml:space="preserve">https://en.wikipedia.org/wiki/El_Cajon,_California	</v>
      <v xml:space="preserve">https://creativecommons.org/licenses/by-sa/3.0	</v>
    </spb>
    <spb s="1">
      <v>84</v>
      <v>84</v>
      <v>84</v>
      <v>84</v>
      <v>84</v>
      <v>84</v>
      <v>84</v>
      <v>84</v>
      <v>84</v>
      <v>84</v>
    </spb>
    <spb s="0">
      <v xml:space="preserve">Wikipedia	</v>
      <v xml:space="preserve">CC BY-SA 3.0	</v>
      <v xml:space="preserve">https://en.wikipedia.org/wiki/El_Centro,_California	</v>
      <v xml:space="preserve">https://creativecommons.org/licenses/by-sa/3.0	</v>
    </spb>
    <spb s="1">
      <v>86</v>
      <v>86</v>
      <v>86</v>
      <v>86</v>
      <v>86</v>
      <v>86</v>
      <v>86</v>
      <v>86</v>
      <v>86</v>
      <v>86</v>
    </spb>
    <spb s="0">
      <v xml:space="preserve">Wikipedia	</v>
      <v xml:space="preserve">CC BY-SA 3.0	</v>
      <v xml:space="preserve">https://en.wikipedia.org/wiki/Elk_Grove,_California	</v>
      <v xml:space="preserve">https://creativecommons.org/licenses/by-sa/3.0	</v>
    </spb>
    <spb s="1">
      <v>88</v>
      <v>88</v>
      <v>88</v>
      <v>88</v>
      <v>88</v>
      <v>88</v>
      <v>88</v>
      <v>88</v>
      <v>88</v>
      <v>88</v>
    </spb>
    <spb s="0">
      <v xml:space="preserve">Wikipedia	</v>
      <v xml:space="preserve">CC BY-SA 3.0	</v>
      <v xml:space="preserve">https://en.wikipedia.org/wiki/Escondido,_California	</v>
      <v xml:space="preserve">https://creativecommons.org/licenses/by-sa/3.0	</v>
    </spb>
    <spb s="1">
      <v>90</v>
      <v>90</v>
      <v>90</v>
      <v>90</v>
      <v>90</v>
      <v>90</v>
      <v>90</v>
      <v>90</v>
      <v>90</v>
      <v>90</v>
    </spb>
    <spb s="0">
      <v xml:space="preserve">Wikipedia	</v>
      <v xml:space="preserve">CC BY-SA 3.0	</v>
      <v xml:space="preserve">https://en.wikipedia.org/wiki/Eureka,_California	</v>
      <v xml:space="preserve">https://creativecommons.org/licenses/by-sa/3.0	</v>
    </spb>
    <spb s="1">
      <v>92</v>
      <v>92</v>
      <v>92</v>
      <v>92</v>
      <v>92</v>
      <v>92</v>
      <v>92</v>
      <v>92</v>
      <v>92</v>
      <v>92</v>
    </spb>
    <spb s="0">
      <v xml:space="preserve">Wikipedia	</v>
      <v xml:space="preserve">CC BY-SA 3.0	</v>
      <v xml:space="preserve">https://en.wikipedia.org/wiki/Fairfield,_California	</v>
      <v xml:space="preserve">https://creativecommons.org/licenses/by-sa/3.0	</v>
    </spb>
    <spb s="1">
      <v>94</v>
      <v>94</v>
      <v>94</v>
      <v>94</v>
      <v>94</v>
      <v>94</v>
      <v>94</v>
      <v>94</v>
      <v>94</v>
      <v>94</v>
    </spb>
    <spb s="0">
      <v xml:space="preserve">Wikipedia	</v>
      <v xml:space="preserve">CC BY-SA 3.0	</v>
      <v xml:space="preserve">https://en.wikipedia.org/wiki/Folsom,_California	</v>
      <v xml:space="preserve">https://creativecommons.org/licenses/by-sa/3.0	</v>
    </spb>
    <spb s="1">
      <v>96</v>
      <v>96</v>
      <v>96</v>
      <v>96</v>
      <v>96</v>
      <v>96</v>
      <v>96</v>
      <v>96</v>
      <v>96</v>
      <v>96</v>
    </spb>
    <spb s="0">
      <v xml:space="preserve">Wikipedia	</v>
      <v xml:space="preserve">CC BY-SA 3.0	</v>
      <v xml:space="preserve">https://en.wikipedia.org/wiki/Fort_Bragg,_California	</v>
      <v xml:space="preserve">https://creativecommons.org/licenses/by-sa/3.0	</v>
    </spb>
    <spb s="1">
      <v>98</v>
      <v>98</v>
      <v>98</v>
      <v>98</v>
      <v>98</v>
      <v>98</v>
      <v>98</v>
      <v>98</v>
      <v>98</v>
      <v>98</v>
    </spb>
    <spb s="0">
      <v xml:space="preserve">Wikipedia	</v>
      <v xml:space="preserve">CC BY-SA 3.0	</v>
      <v xml:space="preserve">https://en.wikipedia.org/wiki/Fremont,_California	</v>
      <v xml:space="preserve">https://creativecommons.org/licenses/by-sa/3.0	</v>
    </spb>
    <spb s="1">
      <v>100</v>
      <v>100</v>
      <v>100</v>
      <v>100</v>
      <v>100</v>
      <v>100</v>
      <v>100</v>
      <v>100</v>
      <v>100</v>
      <v>100</v>
    </spb>
    <spb s="0">
      <v xml:space="preserve">Wikipedia	</v>
      <v xml:space="preserve">CC BY-SA 3.0	</v>
      <v xml:space="preserve">https://en.wikipedia.org/wiki/Fresno,_California	</v>
      <v xml:space="preserve">https://creativecommons.org/licenses/by-sa/3.0	</v>
    </spb>
    <spb s="1">
      <v>102</v>
      <v>102</v>
      <v>102</v>
      <v>102</v>
      <v>102</v>
      <v>102</v>
      <v>102</v>
      <v>102</v>
      <v>102</v>
      <v>102</v>
    </spb>
    <spb s="0">
      <v xml:space="preserve">Wikipedia	</v>
      <v xml:space="preserve">CC BY-SA 3.0	</v>
      <v xml:space="preserve">https://en.wikipedia.org/wiki/Furnace_Creek,_California	</v>
      <v xml:space="preserve">https://creativecommons.org/licenses/by-sa/3.0	</v>
    </spb>
    <spb s="1">
      <v>104</v>
      <v>104</v>
      <v>104</v>
      <v>104</v>
      <v>104</v>
      <v>104</v>
      <v>104</v>
      <v>104</v>
      <v>104</v>
      <v>104</v>
    </spb>
    <spb s="0">
      <v xml:space="preserve">Wikipedia	</v>
      <v xml:space="preserve">CC BY-SA 3.0	</v>
      <v xml:space="preserve">https://en.wikipedia.org/wiki/Gilroy,_California	</v>
      <v xml:space="preserve">https://creativecommons.org/licenses/by-sa/3.0	</v>
    </spb>
    <spb s="1">
      <v>106</v>
      <v>106</v>
      <v>106</v>
      <v>106</v>
      <v>106</v>
      <v>106</v>
      <v>106</v>
      <v>106</v>
      <v>106</v>
      <v>106</v>
    </spb>
    <spb s="0">
      <v xml:space="preserve">Wikipedia	</v>
      <v xml:space="preserve">CC BY-SA 3.0	</v>
      <v xml:space="preserve">https://en.wikipedia.org/wiki/Glendale,_California	</v>
      <v xml:space="preserve">https://creativecommons.org/licenses/by-sa/3.0	</v>
    </spb>
    <spb s="1">
      <v>108</v>
      <v>108</v>
      <v>108</v>
      <v>108</v>
      <v>108</v>
      <v>108</v>
      <v>108</v>
      <v>108</v>
      <v>108</v>
      <v>108</v>
    </spb>
    <spb s="0">
      <v xml:space="preserve">Wikipedia	</v>
      <v xml:space="preserve">CC BY-SA 3.0	</v>
      <v xml:space="preserve">https://en.wikipedia.org/wiki/Half_Moon_Bay,_California	</v>
      <v xml:space="preserve">https://creativecommons.org/licenses/by-sa/3.0	</v>
    </spb>
    <spb s="1">
      <v>110</v>
      <v>110</v>
      <v>110</v>
      <v>110</v>
      <v>110</v>
      <v>110</v>
      <v>110</v>
      <v>110</v>
      <v>110</v>
      <v>110</v>
    </spb>
    <spb s="0">
      <v xml:space="preserve">Wikipedia	</v>
      <v xml:space="preserve">CC BY-SA 3.0	</v>
      <v xml:space="preserve">https://en.wikipedia.org/wiki/San_Mateo_County,_California	</v>
      <v xml:space="preserve">https://creativecommons.org/licenses/by-sa/3.0	</v>
    </spb>
    <spb s="9">
      <v>112</v>
      <v>112</v>
      <v>112</v>
      <v>112</v>
      <v>112</v>
      <v>112</v>
      <v>112</v>
      <v>112</v>
    </spb>
    <spb s="0">
      <v xml:space="preserve">Wikipedia	</v>
      <v xml:space="preserve">CC BY-SA 3.0	</v>
      <v xml:space="preserve">https://en.wikipedia.org/wiki/Hanford,_California	</v>
      <v xml:space="preserve">https://creativecommons.org/licenses/by-sa/3.0	</v>
    </spb>
    <spb s="1">
      <v>114</v>
      <v>114</v>
      <v>114</v>
      <v>114</v>
      <v>114</v>
      <v>114</v>
      <v>114</v>
      <v>114</v>
      <v>114</v>
      <v>114</v>
    </spb>
    <spb s="0">
      <v xml:space="preserve">Wikipedia	</v>
      <v xml:space="preserve">CC BY-SA 3.0	</v>
      <v xml:space="preserve">https://en.wikipedia.org/wiki/Hayward,_California	</v>
      <v xml:space="preserve">https://creativecommons.org/licenses/by-sa/3.0	</v>
    </spb>
    <spb s="1">
      <v>116</v>
      <v>116</v>
      <v>116</v>
      <v>116</v>
      <v>116</v>
      <v>116</v>
      <v>116</v>
      <v>116</v>
      <v>116</v>
      <v>116</v>
    </spb>
    <spb s="0">
      <v xml:space="preserve">Wikipedia	</v>
      <v xml:space="preserve">CC BY-SA 3.0	</v>
      <v xml:space="preserve">https://en.wikipedia.org/wiki/Hollister,_California	</v>
      <v xml:space="preserve">https://creativecommons.org/licenses/by-sa/3.0	</v>
    </spb>
    <spb s="1">
      <v>118</v>
      <v>118</v>
      <v>118</v>
      <v>118</v>
      <v>118</v>
      <v>118</v>
      <v>118</v>
      <v>118</v>
      <v>118</v>
      <v>118</v>
    </spb>
    <spb s="0">
      <v xml:space="preserve">Wikipedia	</v>
      <v xml:space="preserve">CC BY-SA 3.0	</v>
      <v xml:space="preserve">https://en.wikipedia.org/wiki/Huntington_Beach,_California	</v>
      <v xml:space="preserve">https://creativecommons.org/licenses/by-sa/3.0	</v>
    </spb>
    <spb s="1">
      <v>120</v>
      <v>120</v>
      <v>120</v>
      <v>120</v>
      <v>120</v>
      <v>120</v>
      <v>120</v>
      <v>120</v>
      <v>120</v>
      <v>120</v>
    </spb>
    <spb s="0">
      <v xml:space="preserve">Wikipedia	</v>
      <v xml:space="preserve">CC BY-SA 3.0	</v>
      <v xml:space="preserve">https://en.wikipedia.org/wiki/Independence,_California	</v>
      <v xml:space="preserve">https://creativecommons.org/licenses/by-sa/3.0	</v>
    </spb>
    <spb s="1">
      <v>122</v>
      <v>122</v>
      <v>122</v>
      <v>122</v>
      <v>122</v>
      <v>122</v>
      <v>122</v>
      <v>122</v>
      <v>122</v>
      <v>122</v>
    </spb>
    <spb s="0">
      <v xml:space="preserve">Wikipedia	</v>
      <v xml:space="preserve">CC BY-SA 3.0	</v>
      <v xml:space="preserve">https://en.wikipedia.org/wiki/Indio,_California	</v>
      <v xml:space="preserve">https://creativecommons.org/licenses/by-sa/3.0	</v>
    </spb>
    <spb s="1">
      <v>124</v>
      <v>124</v>
      <v>124</v>
      <v>124</v>
      <v>124</v>
      <v>124</v>
      <v>124</v>
      <v>124</v>
      <v>124</v>
      <v>124</v>
    </spb>
    <spb s="0">
      <v xml:space="preserve">Wikipedia	</v>
      <v xml:space="preserve">CC BY-SA 3.0	</v>
      <v xml:space="preserve">https://en.wikipedia.org/wiki/Inglewood,_California	</v>
      <v xml:space="preserve">https://creativecommons.org/licenses/by-sa/3.0	</v>
    </spb>
    <spb s="1">
      <v>126</v>
      <v>126</v>
      <v>126</v>
      <v>126</v>
      <v>126</v>
      <v>126</v>
      <v>126</v>
      <v>126</v>
      <v>126</v>
      <v>126</v>
    </spb>
    <spb s="0">
      <v xml:space="preserve">Wikipedia	</v>
      <v xml:space="preserve">CC BY-SA 3.0	</v>
      <v xml:space="preserve">https://en.wikipedia.org/wiki/Irvine,_California	</v>
      <v xml:space="preserve">https://creativecommons.org/licenses/by-sa/3.0	</v>
    </spb>
    <spb s="1">
      <v>128</v>
      <v>128</v>
      <v>128</v>
      <v>128</v>
      <v>128</v>
      <v>128</v>
      <v>128</v>
      <v>128</v>
      <v>128</v>
      <v>128</v>
    </spb>
    <spb s="0">
      <v xml:space="preserve">Wikipedia	</v>
      <v xml:space="preserve">CC BY-SA 3.0	</v>
      <v xml:space="preserve">https://en.wikipedia.org/wiki/Kettleman_City,_California	</v>
      <v xml:space="preserve">https://creativecommons.org/licenses/by-sa/3.0	</v>
    </spb>
    <spb s="1">
      <v>130</v>
      <v>130</v>
      <v>130</v>
      <v>130</v>
      <v>130</v>
      <v>130</v>
      <v>130</v>
      <v>130</v>
      <v>130</v>
      <v>130</v>
    </spb>
    <spb s="0">
      <v xml:space="preserve">Wikipedia	</v>
      <v xml:space="preserve">CC BY-SA 3.0	</v>
      <v xml:space="preserve">https://en.wikipedia.org/wiki/King_City,_California	</v>
      <v xml:space="preserve">https://creativecommons.org/licenses/by-sa/3.0	</v>
    </spb>
    <spb s="1">
      <v>132</v>
      <v>132</v>
      <v>132</v>
      <v>132</v>
      <v>132</v>
      <v>132</v>
      <v>132</v>
      <v>132</v>
      <v>132</v>
      <v>132</v>
    </spb>
    <spb s="0">
      <v xml:space="preserve">Wikipedia	</v>
      <v xml:space="preserve">CC BY-SA 3.0	</v>
      <v xml:space="preserve">https://en.wikipedia.org/wiki/Lakeport,_California	</v>
      <v xml:space="preserve">https://creativecommons.org/licenses/by-sa/3.0	</v>
    </spb>
    <spb s="1">
      <v>134</v>
      <v>134</v>
      <v>134</v>
      <v>134</v>
      <v>134</v>
      <v>134</v>
      <v>134</v>
      <v>134</v>
      <v>134</v>
      <v>134</v>
    </spb>
    <spb s="0">
      <v xml:space="preserve">Wikipedia	</v>
      <v xml:space="preserve">CC BY-SA 3.0	</v>
      <v xml:space="preserve">https://en.wikipedia.org/wiki/Lancaster,_California	</v>
      <v xml:space="preserve">https://creativecommons.org/licenses/by-sa/3.0	</v>
    </spb>
    <spb s="1">
      <v>136</v>
      <v>136</v>
      <v>136</v>
      <v>136</v>
      <v>136</v>
      <v>136</v>
      <v>136</v>
      <v>136</v>
      <v>136</v>
      <v>136</v>
    </spb>
    <spb s="0">
      <v xml:space="preserve">Wikipedia	</v>
      <v xml:space="preserve">CC BY-SA 3.0	</v>
      <v xml:space="preserve">https://en.wikipedia.org/wiki/Livermore,_California	</v>
      <v xml:space="preserve">https://creativecommons.org/licenses/by-sa/3.0	</v>
    </spb>
    <spb s="1">
      <v>138</v>
      <v>138</v>
      <v>138</v>
      <v>138</v>
      <v>138</v>
      <v>138</v>
      <v>138</v>
      <v>138</v>
      <v>138</v>
      <v>138</v>
    </spb>
    <spb s="0">
      <v xml:space="preserve">Wikipedia	</v>
      <v xml:space="preserve">CC BY-SA 3.0	</v>
      <v xml:space="preserve">https://en.wikipedia.org/wiki/Livingston,_California	</v>
      <v xml:space="preserve">https://creativecommons.org/licenses/by-sa/3.0	</v>
    </spb>
    <spb s="1">
      <v>140</v>
      <v>140</v>
      <v>140</v>
      <v>140</v>
      <v>140</v>
      <v>140</v>
      <v>140</v>
      <v>140</v>
      <v>140</v>
      <v>140</v>
    </spb>
    <spb s="0">
      <v xml:space="preserve">Wikipedia	</v>
      <v xml:space="preserve">CC BY-SA 3.0	</v>
      <v xml:space="preserve">https://en.wikipedia.org/wiki/Lodi,_California	</v>
      <v xml:space="preserve">https://creativecommons.org/licenses/by-sa/3.0	</v>
    </spb>
    <spb s="1">
      <v>142</v>
      <v>142</v>
      <v>142</v>
      <v>142</v>
      <v>142</v>
      <v>142</v>
      <v>142</v>
      <v>142</v>
      <v>142</v>
      <v>142</v>
    </spb>
    <spb s="0">
      <v xml:space="preserve">Wikipedia	</v>
      <v xml:space="preserve">CC BY-SA 3.0	</v>
      <v xml:space="preserve">https://en.wikipedia.org/wiki/Lone_Pine,_California	</v>
      <v xml:space="preserve">https://creativecommons.org/licenses/by-sa/3.0	</v>
    </spb>
    <spb s="1">
      <v>144</v>
      <v>144</v>
      <v>144</v>
      <v>144</v>
      <v>144</v>
      <v>144</v>
      <v>144</v>
      <v>144</v>
      <v>144</v>
      <v>144</v>
    </spb>
    <spb s="0">
      <v xml:space="preserve">Wikipedia	</v>
      <v xml:space="preserve">CC BY-SA 3.0	</v>
      <v xml:space="preserve">https://en.wikipedia.org/wiki/Long_Beach,_California	</v>
      <v xml:space="preserve">https://creativecommons.org/licenses/by-sa/3.0	</v>
    </spb>
    <spb s="1">
      <v>146</v>
      <v>146</v>
      <v>146</v>
      <v>146</v>
      <v>146</v>
      <v>146</v>
      <v>146</v>
      <v>146</v>
      <v>146</v>
      <v>146</v>
    </spb>
    <spb s="0">
      <v xml:space="preserve">Wikipedia	</v>
      <v xml:space="preserve">CC BY-SA 3.0	</v>
      <v xml:space="preserve">https://en.wikipedia.org/wiki/Los_Angeles	</v>
      <v xml:space="preserve">https://creativecommons.org/licenses/by-sa/3.0	</v>
    </spb>
    <spb s="1">
      <v>148</v>
      <v>148</v>
      <v>148</v>
      <v>148</v>
      <v>148</v>
      <v>148</v>
      <v>148</v>
      <v>148</v>
      <v>148</v>
      <v>148</v>
    </spb>
    <spb s="0">
      <v xml:space="preserve">Wikipedia	</v>
      <v xml:space="preserve">CC BY-SA 3.0	</v>
      <v xml:space="preserve">https://en.wikipedia.org/wiki/Los_Banos,_California	</v>
      <v xml:space="preserve">https://creativecommons.org/licenses/by-sa/3.0	</v>
    </spb>
    <spb s="1">
      <v>150</v>
      <v>150</v>
      <v>150</v>
      <v>150</v>
      <v>150</v>
      <v>150</v>
      <v>150</v>
      <v>150</v>
      <v>150</v>
      <v>150</v>
    </spb>
    <spb s="0">
      <v xml:space="preserve">Wikipedia	</v>
      <v xml:space="preserve">CC BY-SA 3.0	</v>
      <v xml:space="preserve">https://en.wikipedia.org/wiki/Madera,_California	</v>
      <v xml:space="preserve">https://creativecommons.org/licenses/by-sa/3.0	</v>
    </spb>
    <spb s="1">
      <v>152</v>
      <v>152</v>
      <v>152</v>
      <v>152</v>
      <v>152</v>
      <v>152</v>
      <v>152</v>
      <v>152</v>
      <v>152</v>
      <v>152</v>
    </spb>
    <spb s="0">
      <v xml:space="preserve">Wikipedia	</v>
      <v xml:space="preserve">CC BY-SA 3.0	</v>
      <v xml:space="preserve">https://en.wikipedia.org/wiki/Mariposa,_California	</v>
      <v xml:space="preserve">https://creativecommons.org/licenses/by-sa/3.0	</v>
    </spb>
    <spb s="1">
      <v>154</v>
      <v>154</v>
      <v>154</v>
      <v>154</v>
      <v>154</v>
      <v>154</v>
      <v>154</v>
      <v>154</v>
      <v>154</v>
      <v>154</v>
    </spb>
    <spb s="0">
      <v xml:space="preserve">Wikipedia	</v>
      <v xml:space="preserve">CC BY-SA 3.0	</v>
      <v xml:space="preserve">https://en.wikipedia.org/wiki/Mariposa_County,_California	</v>
      <v xml:space="preserve">https://creativecommons.org/licenses/by-sa/3.0	</v>
    </spb>
    <spb s="11">
      <v>156</v>
      <v>156</v>
      <v>156</v>
      <v>156</v>
      <v>156</v>
      <v>156</v>
      <v>156</v>
    </spb>
    <spb s="0">
      <v xml:space="preserve">Wikipedia	</v>
      <v xml:space="preserve">CC BY-SA 3.0	</v>
      <v xml:space="preserve">https://en.wikipedia.org/wiki/Maxwell,_California	</v>
      <v xml:space="preserve">https://creativecommons.org/licenses/by-sa/3.0	</v>
    </spb>
    <spb s="1">
      <v>158</v>
      <v>158</v>
      <v>158</v>
      <v>158</v>
      <v>158</v>
      <v>158</v>
      <v>158</v>
      <v>158</v>
      <v>158</v>
      <v>158</v>
    </spb>
    <spb s="0">
      <v xml:space="preserve">Wikipedia	</v>
      <v xml:space="preserve">CC BY-SA 3.0	</v>
      <v xml:space="preserve">https://en.wikipedia.org/wiki/Mendocino,_California	</v>
      <v xml:space="preserve">https://creativecommons.org/licenses/by-sa/3.0	</v>
    </spb>
    <spb s="1">
      <v>160</v>
      <v>160</v>
      <v>160</v>
      <v>160</v>
      <v>160</v>
      <v>160</v>
      <v>160</v>
      <v>160</v>
      <v>160</v>
      <v>160</v>
    </spb>
    <spb s="0">
      <v xml:space="preserve">Wikipedia	</v>
      <v xml:space="preserve">CC BY-SA 3.0	</v>
      <v xml:space="preserve">https://en.wikipedia.org/wiki/Modesto,_California	</v>
      <v xml:space="preserve">https://creativecommons.org/licenses/by-sa/3.0	</v>
    </spb>
    <spb s="1">
      <v>162</v>
      <v>162</v>
      <v>162</v>
      <v>162</v>
      <v>162</v>
      <v>162</v>
      <v>162</v>
      <v>162</v>
      <v>162</v>
      <v>162</v>
    </spb>
    <spb s="0">
      <v xml:space="preserve">Wikipedia	</v>
      <v xml:space="preserve">CC BY-SA 3.0	</v>
      <v xml:space="preserve">https://en.wikipedia.org/wiki/Mojave,_California	</v>
      <v xml:space="preserve">https://creativecommons.org/licenses/by-sa/3.0	</v>
    </spb>
    <spb s="1">
      <v>164</v>
      <v>164</v>
      <v>164</v>
      <v>164</v>
      <v>164</v>
      <v>164</v>
      <v>164</v>
      <v>164</v>
      <v>164</v>
      <v>164</v>
    </spb>
    <spb s="0">
      <v xml:space="preserve">Wikipedia	</v>
      <v xml:space="preserve">CC BY-SA 3.0	</v>
      <v xml:space="preserve">https://en.wikipedia.org/wiki/Mammoth_Lakes,_California	</v>
      <v xml:space="preserve">https://creativecommons.org/licenses/by-sa/3.0	</v>
    </spb>
    <spb s="1">
      <v>166</v>
      <v>166</v>
      <v>166</v>
      <v>166</v>
      <v>166</v>
      <v>166</v>
      <v>166</v>
      <v>166</v>
      <v>166</v>
      <v>166</v>
    </spb>
    <spb s="0">
      <v xml:space="preserve">Wikipedia	</v>
      <v xml:space="preserve">CC BY-SA 3.0	</v>
      <v xml:space="preserve">https://en.wikipedia.org/wiki/Monterey,_California	</v>
      <v xml:space="preserve">https://creativecommons.org/licenses/by-sa/3.0	</v>
    </spb>
    <spb s="1">
      <v>168</v>
      <v>168</v>
      <v>168</v>
      <v>168</v>
      <v>168</v>
      <v>168</v>
      <v>168</v>
      <v>168</v>
      <v>168</v>
      <v>168</v>
    </spb>
    <spb s="0">
      <v xml:space="preserve">Wikipedia	</v>
      <v xml:space="preserve">CC BY-SA 3.0	</v>
      <v xml:space="preserve">https://en.wikipedia.org/wiki/Morro_Bay,_California	</v>
      <v xml:space="preserve">https://creativecommons.org/licenses/by-sa/3.0	</v>
    </spb>
    <spb s="1">
      <v>170</v>
      <v>170</v>
      <v>170</v>
      <v>170</v>
      <v>170</v>
      <v>170</v>
      <v>170</v>
      <v>170</v>
      <v>170</v>
      <v>170</v>
    </spb>
    <spb s="0">
      <v xml:space="preserve">Wikipedia	</v>
      <v xml:space="preserve">CC BY-SA 3.0	</v>
      <v xml:space="preserve">https://en.wikipedia.org/wiki/Mount_Shasta,_California	</v>
      <v xml:space="preserve">https://creativecommons.org/licenses/by-sa/3.0	</v>
    </spb>
    <spb s="1">
      <v>172</v>
      <v>172</v>
      <v>172</v>
      <v>172</v>
      <v>172</v>
      <v>172</v>
      <v>172</v>
      <v>172</v>
      <v>172</v>
      <v>172</v>
    </spb>
    <spb s="0">
      <v xml:space="preserve">Wikipedia	</v>
      <v xml:space="preserve">CC BY-SA 3.0	</v>
      <v xml:space="preserve">https://en.wikipedia.org/wiki/Napa,_California	</v>
      <v xml:space="preserve">https://creativecommons.org/licenses/by-sa/3.0	</v>
    </spb>
    <spb s="1">
      <v>174</v>
      <v>174</v>
      <v>174</v>
      <v>174</v>
      <v>174</v>
      <v>174</v>
      <v>174</v>
      <v>174</v>
      <v>174</v>
      <v>174</v>
    </spb>
    <spb s="0">
      <v xml:space="preserve">Wikipedia	</v>
      <v xml:space="preserve">CC BY-SA 3.0	</v>
      <v xml:space="preserve">https://en.wikipedia.org/wiki/Oakhurst,_California	</v>
      <v xml:space="preserve">https://creativecommons.org/licenses/by-sa/3.0	</v>
    </spb>
    <spb s="1">
      <v>176</v>
      <v>176</v>
      <v>176</v>
      <v>176</v>
      <v>176</v>
      <v>176</v>
      <v>176</v>
      <v>176</v>
      <v>176</v>
      <v>176</v>
    </spb>
    <spb s="0">
      <v xml:space="preserve">Wikipedia	</v>
      <v xml:space="preserve">CC BY-SA 3.0	</v>
      <v xml:space="preserve">https://en.wikipedia.org/wiki/Oakland,_California	</v>
      <v xml:space="preserve">https://creativecommons.org/licenses/by-sa/3.0	</v>
    </spb>
    <spb s="1">
      <v>178</v>
      <v>178</v>
      <v>178</v>
      <v>178</v>
      <v>178</v>
      <v>178</v>
      <v>178</v>
      <v>178</v>
      <v>178</v>
      <v>178</v>
    </spb>
    <spb s="0">
      <v xml:space="preserve">Wikipedia	</v>
      <v xml:space="preserve">CC BY-SA 3.0	</v>
      <v xml:space="preserve">https://en.wikipedia.org/wiki/Oceanside,_California	</v>
      <v xml:space="preserve">https://creativecommons.org/licenses/by-sa/3.0	</v>
    </spb>
    <spb s="1">
      <v>180</v>
      <v>180</v>
      <v>180</v>
      <v>180</v>
      <v>180</v>
      <v>180</v>
      <v>180</v>
      <v>180</v>
      <v>180</v>
      <v>180</v>
    </spb>
    <spb s="0">
      <v xml:space="preserve">Wikipedia	</v>
      <v xml:space="preserve">CC BY-SA 3.0	</v>
      <v xml:space="preserve">https://en.wikipedia.org/wiki/Ontario,_California	</v>
      <v xml:space="preserve">https://creativecommons.org/licenses/by-sa/3.0	</v>
    </spb>
    <spb s="1">
      <v>182</v>
      <v>182</v>
      <v>182</v>
      <v>182</v>
      <v>182</v>
      <v>182</v>
      <v>182</v>
      <v>182</v>
      <v>182</v>
      <v>182</v>
    </spb>
    <spb s="0">
      <v xml:space="preserve">Wikipedia	</v>
      <v xml:space="preserve">CC BY-SA 3.0	</v>
      <v xml:space="preserve">https://en.wikipedia.org/wiki/Oroville,_California	</v>
      <v xml:space="preserve">https://creativecommons.org/licenses/by-sa/3.0	</v>
    </spb>
    <spb s="1">
      <v>184</v>
      <v>184</v>
      <v>184</v>
      <v>184</v>
      <v>184</v>
      <v>184</v>
      <v>184</v>
      <v>184</v>
      <v>184</v>
      <v>184</v>
    </spb>
    <spb s="0">
      <v xml:space="preserve">Wikipedia	</v>
      <v xml:space="preserve">CC BY-SA 3.0	</v>
      <v xml:space="preserve">https://en.wikipedia.org/wiki/Oxnard,_California	</v>
      <v xml:space="preserve">https://creativecommons.org/licenses/by-sa/3.0	</v>
    </spb>
    <spb s="1">
      <v>186</v>
      <v>186</v>
      <v>186</v>
      <v>186</v>
      <v>186</v>
      <v>186</v>
      <v>186</v>
      <v>186</v>
      <v>186</v>
      <v>186</v>
    </spb>
    <spb s="0">
      <v xml:space="preserve">Wikipedia	</v>
      <v xml:space="preserve">CC BY-SA 3.0	</v>
      <v xml:space="preserve">https://en.wikipedia.org/wiki/Palm_Springs,_California	</v>
      <v xml:space="preserve">https://creativecommons.org/licenses/by-sa/3.0	</v>
    </spb>
    <spb s="1">
      <v>188</v>
      <v>188</v>
      <v>188</v>
      <v>188</v>
      <v>188</v>
      <v>188</v>
      <v>188</v>
      <v>188</v>
      <v>188</v>
      <v>188</v>
    </spb>
    <spb s="0">
      <v xml:space="preserve">Wikipedia	</v>
      <v xml:space="preserve">CC BY-SA 3.0	</v>
      <v xml:space="preserve">https://en.wikipedia.org/wiki/Palmdale,_California	</v>
      <v xml:space="preserve">https://creativecommons.org/licenses/by-sa/3.0	</v>
    </spb>
    <spb s="1">
      <v>190</v>
      <v>190</v>
      <v>190</v>
      <v>190</v>
      <v>190</v>
      <v>190</v>
      <v>190</v>
      <v>190</v>
      <v>190</v>
      <v>190</v>
    </spb>
    <spb s="0">
      <v xml:space="preserve">Wikipedia	</v>
      <v xml:space="preserve">CC BY-SA 3.0	</v>
      <v xml:space="preserve">https://en.wikipedia.org/wiki/Palo_Alto,_California	</v>
      <v xml:space="preserve">https://creativecommons.org/licenses/by-sa/3.0	</v>
    </spb>
    <spb s="1">
      <v>192</v>
      <v>192</v>
      <v>192</v>
      <v>192</v>
      <v>192</v>
      <v>192</v>
      <v>192</v>
      <v>192</v>
      <v>192</v>
      <v>192</v>
    </spb>
    <spb s="0">
      <v xml:space="preserve">Wikipedia	</v>
      <v xml:space="preserve">CC BY-SA 3.0	</v>
      <v xml:space="preserve">https://en.wikipedia.org/wiki/Paradise,_California	</v>
      <v xml:space="preserve">https://creativecommons.org/licenses/by-sa/3.0	</v>
    </spb>
    <spb s="1">
      <v>194</v>
      <v>194</v>
      <v>194</v>
      <v>194</v>
      <v>194</v>
      <v>194</v>
      <v>194</v>
      <v>194</v>
      <v>194</v>
      <v>194</v>
    </spb>
    <spb s="0">
      <v xml:space="preserve">Wikipedia	</v>
      <v xml:space="preserve">CC BY-SA 3.0	</v>
      <v xml:space="preserve">https://en.wikipedia.org/wiki/Pasadena,_California	</v>
      <v xml:space="preserve">https://creativecommons.org/licenses/by-sa/3.0	</v>
    </spb>
    <spb s="1">
      <v>196</v>
      <v>196</v>
      <v>196</v>
      <v>196</v>
      <v>196</v>
      <v>196</v>
      <v>196</v>
      <v>196</v>
      <v>196</v>
      <v>196</v>
    </spb>
    <spb s="0">
      <v xml:space="preserve">Wikipedia	</v>
      <v xml:space="preserve">CC BY-SA 3.0	</v>
      <v xml:space="preserve">https://en.wikipedia.org/wiki/Paso_Robles,_California	</v>
      <v xml:space="preserve">https://creativecommons.org/licenses/by-sa/3.0	</v>
    </spb>
    <spb s="1">
      <v>198</v>
      <v>198</v>
      <v>198</v>
      <v>198</v>
      <v>198</v>
      <v>198</v>
      <v>198</v>
      <v>198</v>
      <v>198</v>
      <v>198</v>
    </spb>
    <spb s="0">
      <v xml:space="preserve">Wikipedia	</v>
      <v xml:space="preserve">CC BY-SA 3.0	</v>
      <v xml:space="preserve">https://en.wikipedia.org/wiki/Pismo_Beach,_California	</v>
      <v xml:space="preserve">https://creativecommons.org/licenses/by-sa/3.0	</v>
    </spb>
    <spb s="1">
      <v>200</v>
      <v>200</v>
      <v>200</v>
      <v>200</v>
      <v>200</v>
      <v>200</v>
      <v>200</v>
      <v>200</v>
      <v>200</v>
      <v>200</v>
    </spb>
    <spb s="0">
      <v xml:space="preserve">Wikipedia	</v>
      <v xml:space="preserve">CC BY-SA 3.0	</v>
      <v xml:space="preserve">https://en.wikipedia.org/wiki/Placerville,_California	</v>
      <v xml:space="preserve">https://creativecommons.org/licenses/by-sa/3.0	</v>
    </spb>
    <spb s="1">
      <v>202</v>
      <v>202</v>
      <v>202</v>
      <v>202</v>
      <v>202</v>
      <v>202</v>
      <v>202</v>
      <v>202</v>
      <v>202</v>
      <v>202</v>
    </spb>
    <spb s="0">
      <v xml:space="preserve">Wikipedia	</v>
      <v xml:space="preserve">CC BY-SA 3.0	</v>
      <v xml:space="preserve">https://en.wikipedia.org/wiki/Pleasanton,_California	</v>
      <v xml:space="preserve">https://creativecommons.org/licenses/by-sa/3.0	</v>
    </spb>
    <spb s="1">
      <v>204</v>
      <v>204</v>
      <v>204</v>
      <v>204</v>
      <v>204</v>
      <v>204</v>
      <v>204</v>
      <v>204</v>
      <v>204</v>
      <v>204</v>
    </spb>
    <spb s="0">
      <v xml:space="preserve">Wikipedia	</v>
      <v xml:space="preserve">CC BY-SA 3.0	</v>
      <v xml:space="preserve">https://en.wikipedia.org/wiki/Porterville,_California	</v>
      <v xml:space="preserve">https://creativecommons.org/licenses/by-sa/3.0	</v>
    </spb>
    <spb s="1">
      <v>206</v>
      <v>206</v>
      <v>206</v>
      <v>206</v>
      <v>206</v>
      <v>206</v>
      <v>206</v>
      <v>206</v>
      <v>206</v>
      <v>206</v>
    </spb>
    <spb s="0">
      <v xml:space="preserve">Wikipedia	</v>
      <v xml:space="preserve">CC BY-SA 3.0	</v>
      <v xml:space="preserve">https://en.wikipedia.org/wiki/Red_Bluff,_California	</v>
      <v xml:space="preserve">https://creativecommons.org/licenses/by-sa/3.0	</v>
    </spb>
    <spb s="1">
      <v>208</v>
      <v>208</v>
      <v>208</v>
      <v>208</v>
      <v>208</v>
      <v>208</v>
      <v>208</v>
      <v>208</v>
      <v>208</v>
      <v>208</v>
    </spb>
    <spb s="0">
      <v xml:space="preserve">Wikipedia	</v>
      <v xml:space="preserve">CC BY-SA 3.0	</v>
      <v xml:space="preserve">https://en.wikipedia.org/wiki/Redding,_California	</v>
      <v xml:space="preserve">https://creativecommons.org/licenses/by-sa/3.0	</v>
    </spb>
    <spb s="1">
      <v>210</v>
      <v>210</v>
      <v>210</v>
      <v>210</v>
      <v>210</v>
      <v>210</v>
      <v>210</v>
      <v>210</v>
      <v>210</v>
      <v>210</v>
    </spb>
    <spb s="0">
      <v xml:space="preserve">Wikipedia	</v>
      <v xml:space="preserve">CC BY-SA 3.0	</v>
      <v xml:space="preserve">https://en.wikipedia.org/wiki/Richmond,_California	</v>
      <v xml:space="preserve">https://creativecommons.org/licenses/by-sa/3.0	</v>
    </spb>
    <spb s="1">
      <v>212</v>
      <v>212</v>
      <v>212</v>
      <v>212</v>
      <v>212</v>
      <v>212</v>
      <v>212</v>
      <v>212</v>
      <v>212</v>
      <v>212</v>
    </spb>
    <spb s="0">
      <v xml:space="preserve">Wikipedia	</v>
      <v xml:space="preserve">CC BY-SA 3.0	</v>
      <v xml:space="preserve">https://en.wikipedia.org/wiki/Ridgecrest,_California	</v>
      <v xml:space="preserve">https://creativecommons.org/licenses/by-sa/3.0	</v>
    </spb>
    <spb s="1">
      <v>214</v>
      <v>214</v>
      <v>214</v>
      <v>214</v>
      <v>214</v>
      <v>214</v>
      <v>214</v>
      <v>214</v>
      <v>214</v>
      <v>214</v>
    </spb>
    <spb s="0">
      <v xml:space="preserve">Wikipedia	</v>
      <v xml:space="preserve">CC BY-SA 3.0	</v>
      <v xml:space="preserve">https://en.wikipedia.org/wiki/Riverside,_California	</v>
      <v xml:space="preserve">https://creativecommons.org/licenses/by-sa/3.0	</v>
    </spb>
    <spb s="1">
      <v>216</v>
      <v>216</v>
      <v>216</v>
      <v>216</v>
      <v>216</v>
      <v>216</v>
      <v>216</v>
      <v>216</v>
      <v>216</v>
      <v>216</v>
    </spb>
    <spb s="0">
      <v xml:space="preserve">Wikipedia	</v>
      <v xml:space="preserve">CC BY-SA 3.0	</v>
      <v xml:space="preserve">https://en.wikipedia.org/wiki/Roseville,_California	</v>
      <v xml:space="preserve">https://creativecommons.org/licenses/by-sa/3.0	</v>
    </spb>
    <spb s="1">
      <v>218</v>
      <v>218</v>
      <v>218</v>
      <v>218</v>
      <v>218</v>
      <v>218</v>
      <v>218</v>
      <v>218</v>
      <v>218</v>
      <v>218</v>
    </spb>
    <spb s="0">
      <v xml:space="preserve">Wikipedia	</v>
      <v xml:space="preserve">CC BY-SA 3.0	</v>
      <v xml:space="preserve">https://en.wikipedia.org/wiki/Sacramento,_California	</v>
      <v xml:space="preserve">https://creativecommons.org/licenses/by-sa/3.0	</v>
    </spb>
    <spb s="1">
      <v>220</v>
      <v>220</v>
      <v>220</v>
      <v>220</v>
      <v>220</v>
      <v>220</v>
      <v>220</v>
      <v>220</v>
      <v>220</v>
      <v>220</v>
    </spb>
    <spb s="0">
      <v xml:space="preserve">Wikipedia	</v>
      <v xml:space="preserve">CC BY-SA 3.0	</v>
      <v xml:space="preserve">https://en.wikipedia.org/wiki/Salinas,_California	</v>
      <v xml:space="preserve">https://creativecommons.org/licenses/by-sa/3.0	</v>
    </spb>
    <spb s="1">
      <v>222</v>
      <v>222</v>
      <v>222</v>
      <v>222</v>
      <v>222</v>
      <v>222</v>
      <v>222</v>
      <v>222</v>
      <v>222</v>
      <v>222</v>
    </spb>
    <spb s="0">
      <v xml:space="preserve">Wikipedia	</v>
      <v xml:space="preserve">CC BY-SA 3.0	</v>
      <v xml:space="preserve">https://en.wikipedia.org/wiki/San_Bernardino,_California	</v>
      <v xml:space="preserve">https://creativecommons.org/licenses/by-sa/3.0	</v>
    </spb>
    <spb s="1">
      <v>224</v>
      <v>224</v>
      <v>224</v>
      <v>224</v>
      <v>224</v>
      <v>224</v>
      <v>224</v>
      <v>224</v>
      <v>224</v>
      <v>224</v>
    </spb>
    <spb s="0">
      <v xml:space="preserve">Wikipedia	</v>
      <v xml:space="preserve">CC BY-SA 3.0	</v>
      <v xml:space="preserve">https://en.wikipedia.org/wiki/San_Diego	</v>
      <v xml:space="preserve">https://creativecommons.org/licenses/by-sa/3.0	</v>
    </spb>
    <spb s="1">
      <v>226</v>
      <v>226</v>
      <v>226</v>
      <v>226</v>
      <v>226</v>
      <v>226</v>
      <v>226</v>
      <v>226</v>
      <v>226</v>
      <v>226</v>
    </spb>
    <spb s="0">
      <v xml:space="preserve">Wikipedia	</v>
      <v xml:space="preserve">CC BY-SA 3.0	</v>
      <v xml:space="preserve">https://en.wikipedia.org/wiki/San_Francisco	</v>
      <v xml:space="preserve">https://creativecommons.org/licenses/by-sa/3.0	</v>
    </spb>
    <spb s="12">
      <v>228</v>
      <v>228</v>
      <v>228</v>
      <v>228</v>
      <v>228</v>
      <v>228</v>
      <v>228</v>
      <v>228</v>
      <v>228</v>
    </spb>
    <spb s="2">
      <v>6</v>
      <v>Name</v>
      <v>LearnMoreOnLink</v>
    </spb>
    <spb s="0">
      <v xml:space="preserve">Wikipedia	</v>
      <v xml:space="preserve">CC BY-SA 3.0	</v>
      <v xml:space="preserve">https://en.wikipedia.org/wiki/San_Jose,_California	</v>
      <v xml:space="preserve">https://creativecommons.org/licenses/by-sa/3.0	</v>
    </spb>
    <spb s="1">
      <v>231</v>
      <v>231</v>
      <v>231</v>
      <v>231</v>
      <v>231</v>
      <v>231</v>
      <v>231</v>
      <v>231</v>
      <v>231</v>
      <v>231</v>
    </spb>
    <spb s="0">
      <v xml:space="preserve">Wikipedia	</v>
      <v xml:space="preserve">CC BY-SA 3.0	</v>
      <v xml:space="preserve">https://en.wikipedia.org/wiki/San_Luis_Obispo,_California	</v>
      <v xml:space="preserve">https://creativecommons.org/licenses/by-sa/3.0	</v>
    </spb>
    <spb s="1">
      <v>233</v>
      <v>233</v>
      <v>233</v>
      <v>233</v>
      <v>233</v>
      <v>233</v>
      <v>233</v>
      <v>233</v>
      <v>233</v>
      <v>233</v>
    </spb>
    <spb s="0">
      <v xml:space="preserve">Wikipedia	</v>
      <v xml:space="preserve">CC BY-SA 3.0	</v>
      <v xml:space="preserve">https://en.wikipedia.org/wiki/San_Mateo,_California	</v>
      <v xml:space="preserve">https://creativecommons.org/licenses/by-sa/3.0	</v>
    </spb>
    <spb s="1">
      <v>235</v>
      <v>235</v>
      <v>235</v>
      <v>235</v>
      <v>235</v>
      <v>235</v>
      <v>235</v>
      <v>235</v>
      <v>235</v>
      <v>235</v>
    </spb>
    <spb s="0">
      <v xml:space="preserve">Wikipedia	</v>
      <v xml:space="preserve">CC BY-SA 3.0	</v>
      <v xml:space="preserve">https://en.wikipedia.org/wiki/San_Rafael,_California	</v>
      <v xml:space="preserve">https://creativecommons.org/licenses/by-sa/3.0	</v>
    </spb>
    <spb s="1">
      <v>237</v>
      <v>237</v>
      <v>237</v>
      <v>237</v>
      <v>237</v>
      <v>237</v>
      <v>237</v>
      <v>237</v>
      <v>237</v>
      <v>237</v>
    </spb>
    <spb s="0">
      <v xml:space="preserve">Wikipedia	</v>
      <v xml:space="preserve">CC BY-SA 3.0	</v>
      <v xml:space="preserve">https://en.wikipedia.org/wiki/San_Simeon,_California	</v>
      <v xml:space="preserve">https://creativecommons.org/licenses/by-sa/3.0	</v>
    </spb>
    <spb s="1">
      <v>239</v>
      <v>239</v>
      <v>239</v>
      <v>239</v>
      <v>239</v>
      <v>239</v>
      <v>239</v>
      <v>239</v>
      <v>239</v>
      <v>239</v>
    </spb>
    <spb s="0">
      <v xml:space="preserve">Wikipedia	</v>
      <v xml:space="preserve">CC BY-SA 3.0	</v>
      <v xml:space="preserve">https://en.wikipedia.org/wiki/Santa_Ana,_California	</v>
      <v xml:space="preserve">https://creativecommons.org/licenses/by-sa/3.0	</v>
    </spb>
    <spb s="1">
      <v>241</v>
      <v>241</v>
      <v>241</v>
      <v>241</v>
      <v>241</v>
      <v>241</v>
      <v>241</v>
      <v>241</v>
      <v>241</v>
      <v>241</v>
    </spb>
    <spb s="0">
      <v xml:space="preserve">Wikipedia	</v>
      <v xml:space="preserve">CC BY-SA 3.0	</v>
      <v xml:space="preserve">https://en.wikipedia.org/wiki/Santa_Barbara,_California	</v>
      <v xml:space="preserve">https://creativecommons.org/licenses/by-sa/3.0	</v>
    </spb>
    <spb s="1">
      <v>243</v>
      <v>243</v>
      <v>243</v>
      <v>243</v>
      <v>243</v>
      <v>243</v>
      <v>243</v>
      <v>243</v>
      <v>243</v>
      <v>243</v>
    </spb>
    <spb s="0">
      <v xml:space="preserve">Wikipedia	</v>
      <v xml:space="preserve">CC BY-SA 3.0	</v>
      <v xml:space="preserve">https://en.wikipedia.org/wiki/Santa_Clarita,_California	</v>
      <v xml:space="preserve">https://creativecommons.org/licenses/by-sa/3.0	</v>
    </spb>
    <spb s="1">
      <v>245</v>
      <v>245</v>
      <v>245</v>
      <v>245</v>
      <v>245</v>
      <v>245</v>
      <v>245</v>
      <v>245</v>
      <v>245</v>
      <v>245</v>
    </spb>
    <spb s="0">
      <v xml:space="preserve">Wikipedia	</v>
      <v xml:space="preserve">CC BY-SA 3.0	</v>
      <v xml:space="preserve">https://en.wikipedia.org/wiki/Santa_Cruz,_California	</v>
      <v xml:space="preserve">https://creativecommons.org/licenses/by-sa/3.0	</v>
    </spb>
    <spb s="1">
      <v>247</v>
      <v>247</v>
      <v>247</v>
      <v>247</v>
      <v>247</v>
      <v>247</v>
      <v>247</v>
      <v>247</v>
      <v>247</v>
      <v>247</v>
    </spb>
    <spb s="0">
      <v xml:space="preserve">Wikipedia	</v>
      <v xml:space="preserve">CC BY-SA 3.0	</v>
      <v xml:space="preserve">https://en.wikipedia.org/wiki/Santa_Maria,_California	</v>
      <v xml:space="preserve">https://creativecommons.org/licenses/by-sa/3.0	</v>
    </spb>
    <spb s="1">
      <v>249</v>
      <v>249</v>
      <v>249</v>
      <v>249</v>
      <v>249</v>
      <v>249</v>
      <v>249</v>
      <v>249</v>
      <v>249</v>
      <v>249</v>
    </spb>
    <spb s="0">
      <v xml:space="preserve">Wikipedia	</v>
      <v xml:space="preserve">CC BY-SA 3.0	</v>
      <v xml:space="preserve">https://en.wikipedia.org/wiki/Santa_Rosa,_California	</v>
      <v xml:space="preserve">https://creativecommons.org/licenses/by-sa/3.0	</v>
    </spb>
    <spb s="1">
      <v>251</v>
      <v>251</v>
      <v>251</v>
      <v>251</v>
      <v>251</v>
      <v>251</v>
      <v>251</v>
      <v>251</v>
      <v>251</v>
      <v>251</v>
    </spb>
    <spb s="0">
      <v xml:space="preserve">Wikipedia	</v>
      <v xml:space="preserve">CC BY-SA 3.0	</v>
      <v xml:space="preserve">https://en.wikipedia.org/wiki/Simi_Valley,_California	</v>
      <v xml:space="preserve">https://creativecommons.org/licenses/by-sa/3.0	</v>
    </spb>
    <spb s="1">
      <v>253</v>
      <v>253</v>
      <v>253</v>
      <v>253</v>
      <v>253</v>
      <v>253</v>
      <v>253</v>
      <v>253</v>
      <v>253</v>
      <v>253</v>
    </spb>
    <spb s="0">
      <v xml:space="preserve">Wikipedia	</v>
      <v xml:space="preserve">CC BY-SA 3.0	</v>
      <v xml:space="preserve">https://en.wikipedia.org/wiki/Soledad,_California	</v>
      <v xml:space="preserve">https://creativecommons.org/licenses/by-sa/3.0	</v>
    </spb>
    <spb s="1">
      <v>255</v>
      <v>255</v>
      <v>255</v>
      <v>255</v>
      <v>255</v>
      <v>255</v>
      <v>255</v>
      <v>255</v>
      <v>255</v>
      <v>255</v>
    </spb>
    <spb s="0">
      <v xml:space="preserve">Wikipedia	</v>
      <v xml:space="preserve">CC BY-SA 3.0	</v>
      <v xml:space="preserve">https://en.wikipedia.org/wiki/Sonora,_California	</v>
      <v xml:space="preserve">https://creativecommons.org/licenses/by-sa/3.0	</v>
    </spb>
    <spb s="1">
      <v>257</v>
      <v>257</v>
      <v>257</v>
      <v>257</v>
      <v>257</v>
      <v>257</v>
      <v>257</v>
      <v>257</v>
      <v>257</v>
      <v>257</v>
    </spb>
    <spb s="0">
      <v xml:space="preserve">Wikipedia	</v>
      <v xml:space="preserve">CC BY-SA 3.0	</v>
      <v xml:space="preserve">https://en.wikipedia.org/wiki/South_Lake_Tahoe,_California	</v>
      <v xml:space="preserve">https://creativecommons.org/licenses/by-sa/3.0	</v>
    </spb>
    <spb s="1">
      <v>259</v>
      <v>259</v>
      <v>259</v>
      <v>259</v>
      <v>259</v>
      <v>259</v>
      <v>259</v>
      <v>259</v>
      <v>259</v>
      <v>259</v>
    </spb>
    <spb s="0">
      <v xml:space="preserve">Wikipedia	</v>
      <v xml:space="preserve">CC BY-SA 3.0	</v>
      <v xml:space="preserve">https://en.wikipedia.org/wiki/Stockton,_California	</v>
      <v xml:space="preserve">https://creativecommons.org/licenses/by-sa/3.0	</v>
    </spb>
    <spb s="1">
      <v>261</v>
      <v>261</v>
      <v>261</v>
      <v>261</v>
      <v>261</v>
      <v>261</v>
      <v>261</v>
      <v>261</v>
      <v>261</v>
      <v>261</v>
    </spb>
    <spb s="0">
      <v xml:space="preserve">Wikipedia	</v>
      <v xml:space="preserve">CC BY-SA 3.0	</v>
      <v xml:space="preserve">https://en.wikipedia.org/wiki/Sunnyvale,_California	</v>
      <v xml:space="preserve">https://creativecommons.org/licenses/by-sa/3.0	</v>
    </spb>
    <spb s="1">
      <v>263</v>
      <v>263</v>
      <v>263</v>
      <v>263</v>
      <v>263</v>
      <v>263</v>
      <v>263</v>
      <v>263</v>
      <v>263</v>
      <v>263</v>
    </spb>
    <spb s="0">
      <v xml:space="preserve">Wikipedia	</v>
      <v xml:space="preserve">CC BY-SA 3.0	</v>
      <v xml:space="preserve">https://en.wikipedia.org/wiki/Susanville,_California	</v>
      <v xml:space="preserve">https://creativecommons.org/licenses/by-sa/3.0	</v>
    </spb>
    <spb s="1">
      <v>265</v>
      <v>265</v>
      <v>265</v>
      <v>265</v>
      <v>265</v>
      <v>265</v>
      <v>265</v>
      <v>265</v>
      <v>265</v>
      <v>265</v>
    </spb>
    <spb s="0">
      <v xml:space="preserve">Wikipedia	</v>
      <v xml:space="preserve">CC BY-SA 3.0	</v>
      <v xml:space="preserve">https://en.wikipedia.org/wiki/Tehachapi,_California	</v>
      <v xml:space="preserve">https://creativecommons.org/licenses/by-sa/3.0	</v>
    </spb>
    <spb s="1">
      <v>267</v>
      <v>267</v>
      <v>267</v>
      <v>267</v>
      <v>267</v>
      <v>267</v>
      <v>267</v>
      <v>267</v>
      <v>267</v>
      <v>267</v>
    </spb>
    <spb s="2">
      <v>7</v>
      <v>Name</v>
      <v>LearnMoreOnLink</v>
    </spb>
    <spb s="13">
      <v>1</v>
    </spb>
    <spb s="0">
      <v xml:space="preserve">Wikipedia	</v>
      <v xml:space="preserve">CC BY-SA 3.0	</v>
      <v xml:space="preserve">https://en.wikipedia.org/wiki/Temecula,_California	</v>
      <v xml:space="preserve">https://creativecommons.org/licenses/by-sa/3.0	</v>
    </spb>
    <spb s="1">
      <v>271</v>
      <v>271</v>
      <v>271</v>
      <v>271</v>
      <v>271</v>
      <v>271</v>
      <v>271</v>
      <v>271</v>
      <v>271</v>
      <v>271</v>
    </spb>
    <spb s="0">
      <v xml:space="preserve">Wikipedia	</v>
      <v xml:space="preserve">CC BY-SA 3.0	</v>
      <v xml:space="preserve">https://en.wikipedia.org/wiki/Thousand_Oaks,_California	</v>
      <v xml:space="preserve">https://creativecommons.org/licenses/by-sa/3.0	</v>
    </spb>
    <spb s="1">
      <v>273</v>
      <v>273</v>
      <v>273</v>
      <v>273</v>
      <v>273</v>
      <v>273</v>
      <v>273</v>
      <v>273</v>
      <v>273</v>
      <v>273</v>
    </spb>
    <spb s="0">
      <v xml:space="preserve">Wikipedia	</v>
      <v xml:space="preserve">CC BY-SA 3.0	</v>
      <v xml:space="preserve">https://en.wikipedia.org/wiki/Torrance,_California	</v>
      <v xml:space="preserve">https://creativecommons.org/licenses/by-sa/3.0	</v>
    </spb>
    <spb s="1">
      <v>275</v>
      <v>275</v>
      <v>275</v>
      <v>275</v>
      <v>275</v>
      <v>275</v>
      <v>275</v>
      <v>275</v>
      <v>275</v>
      <v>275</v>
    </spb>
    <spb s="0">
      <v xml:space="preserve">Wikipedia	</v>
      <v xml:space="preserve">CC BY-SA 3.0	</v>
      <v xml:space="preserve">https://en.wikipedia.org/wiki/Tracy,_California	</v>
      <v xml:space="preserve">https://creativecommons.org/licenses/by-sa/3.0	</v>
    </spb>
    <spb s="1">
      <v>277</v>
      <v>277</v>
      <v>277</v>
      <v>277</v>
      <v>277</v>
      <v>277</v>
      <v>277</v>
      <v>277</v>
      <v>277</v>
      <v>277</v>
    </spb>
    <spb s="0">
      <v xml:space="preserve">Wikipedia	</v>
      <v xml:space="preserve">CC BY-SA 3.0	</v>
      <v xml:space="preserve">https://en.wikipedia.org/wiki/Truckee,_California	</v>
      <v xml:space="preserve">https://creativecommons.org/licenses/by-sa/3.0	</v>
    </spb>
    <spb s="1">
      <v>279</v>
      <v>279</v>
      <v>279</v>
      <v>279</v>
      <v>279</v>
      <v>279</v>
      <v>279</v>
      <v>279</v>
      <v>279</v>
      <v>279</v>
    </spb>
    <spb s="0">
      <v xml:space="preserve">Wikipedia	</v>
      <v xml:space="preserve">CC BY-SA 3.0	</v>
      <v xml:space="preserve">https://en.wikipedia.org/wiki/Tulare,_California	</v>
      <v xml:space="preserve">https://creativecommons.org/licenses/by-sa/3.0	</v>
    </spb>
    <spb s="1">
      <v>281</v>
      <v>281</v>
      <v>281</v>
      <v>281</v>
      <v>281</v>
      <v>281</v>
      <v>281</v>
      <v>281</v>
      <v>281</v>
      <v>281</v>
    </spb>
    <spb s="0">
      <v xml:space="preserve">Wikipedia	</v>
      <v xml:space="preserve">CC BY-SA 3.0	</v>
      <v xml:space="preserve">https://en.wikipedia.org/wiki/Turlock,_California	</v>
      <v xml:space="preserve">https://creativecommons.org/licenses/by-sa/3.0	</v>
    </spb>
    <spb s="1">
      <v>283</v>
      <v>283</v>
      <v>283</v>
      <v>283</v>
      <v>283</v>
      <v>283</v>
      <v>283</v>
      <v>283</v>
      <v>283</v>
      <v>283</v>
    </spb>
    <spb s="0">
      <v xml:space="preserve">Wikipedia	</v>
      <v xml:space="preserve">CC BY-SA 3.0	</v>
      <v xml:space="preserve">https://en.wikipedia.org/wiki/Tuttletown,_California	</v>
      <v xml:space="preserve">https://creativecommons.org/licenses/by-sa/3.0	</v>
    </spb>
    <spb s="1">
      <v>285</v>
      <v>285</v>
      <v>285</v>
      <v>285</v>
      <v>285</v>
      <v>285</v>
      <v>285</v>
      <v>285</v>
      <v>285</v>
      <v>285</v>
    </spb>
    <spb s="0">
      <v xml:space="preserve">Wikipedia	</v>
      <v xml:space="preserve">CC BY-SA 3.0	</v>
      <v xml:space="preserve">https://en.wikipedia.org/wiki/Two_Harbors,_California	</v>
      <v xml:space="preserve">https://creativecommons.org/licenses/by-sa/3.0	</v>
    </spb>
    <spb s="0">
      <v xml:space="preserve">Wikipedia	</v>
      <v xml:space="preserve">CC-BY-SA	</v>
      <v xml:space="preserve">http://en.wikipedia.org/wiki/Two_Harbors,_California	</v>
      <v xml:space="preserve">http://creativecommons.org/licenses/by-sa/3.0/	</v>
    </spb>
    <spb s="14">
      <v>287</v>
      <v>287</v>
      <v>287</v>
      <v>288</v>
      <v>287</v>
      <v>287</v>
      <v>287</v>
      <v>287</v>
      <v>287</v>
    </spb>
    <spb s="2">
      <v>8</v>
      <v>Name</v>
      <v>LearnMoreOnLink</v>
    </spb>
    <spb s="15">
      <v>2000</v>
    </spb>
    <spb s="0">
      <v xml:space="preserve">Wikipedia	</v>
      <v xml:space="preserve">CC BY-SA 3.0	</v>
      <v xml:space="preserve">https://en.wikipedia.org/wiki/Vallejo,_California	</v>
      <v xml:space="preserve">https://creativecommons.org/licenses/by-sa/3.0	</v>
    </spb>
    <spb s="1">
      <v>292</v>
      <v>292</v>
      <v>292</v>
      <v>292</v>
      <v>292</v>
      <v>292</v>
      <v>292</v>
      <v>292</v>
      <v>292</v>
      <v>292</v>
    </spb>
    <spb s="0">
      <v xml:space="preserve">Wikipedia	</v>
      <v xml:space="preserve">CC BY-SA 3.0	</v>
      <v xml:space="preserve">https://en.wikipedia.org/wiki/Valley_Springs,_California	</v>
      <v xml:space="preserve">https://creativecommons.org/licenses/by-sa/3.0	</v>
    </spb>
    <spb s="1">
      <v>294</v>
      <v>294</v>
      <v>294</v>
      <v>294</v>
      <v>294</v>
      <v>294</v>
      <v>294</v>
      <v>294</v>
      <v>294</v>
      <v>294</v>
    </spb>
    <spb s="0">
      <v xml:space="preserve">Wikipedia	</v>
      <v xml:space="preserve">CC BY-SA 3.0	</v>
      <v xml:space="preserve">https://en.wikipedia.org/wiki/Ventura,_California	</v>
      <v xml:space="preserve">https://creativecommons.org/licenses/by-sa/3.0	</v>
    </spb>
    <spb s="1">
      <v>296</v>
      <v>296</v>
      <v>296</v>
      <v>296</v>
      <v>296</v>
      <v>296</v>
      <v>296</v>
      <v>296</v>
      <v>296</v>
      <v>296</v>
    </spb>
    <spb s="0">
      <v xml:space="preserve">Wikipedia	</v>
      <v xml:space="preserve">CC BY-SA 3.0	</v>
      <v xml:space="preserve">https://en.wikipedia.org/wiki/Victorville,_California	</v>
      <v xml:space="preserve">https://creativecommons.org/licenses/by-sa/3.0	</v>
    </spb>
    <spb s="1">
      <v>298</v>
      <v>298</v>
      <v>298</v>
      <v>298</v>
      <v>298</v>
      <v>298</v>
      <v>298</v>
      <v>298</v>
      <v>298</v>
      <v>298</v>
    </spb>
    <spb s="0">
      <v xml:space="preserve">Wikipedia	</v>
      <v xml:space="preserve">CC BY-SA 3.0	</v>
      <v xml:space="preserve">https://en.wikipedia.org/wiki/Visalia,_California	</v>
      <v xml:space="preserve">https://creativecommons.org/licenses/by-sa/3.0	</v>
    </spb>
    <spb s="1">
      <v>300</v>
      <v>300</v>
      <v>300</v>
      <v>300</v>
      <v>300</v>
      <v>300</v>
      <v>300</v>
      <v>300</v>
      <v>300</v>
      <v>300</v>
    </spb>
    <spb s="0">
      <v xml:space="preserve">Wikipedia	</v>
      <v xml:space="preserve">CC BY-SA 3.0	</v>
      <v xml:space="preserve">https://en.wikipedia.org/wiki/Walnut_Creek,_California	</v>
      <v xml:space="preserve">https://creativecommons.org/licenses/by-sa/3.0	</v>
    </spb>
    <spb s="1">
      <v>302</v>
      <v>302</v>
      <v>302</v>
      <v>302</v>
      <v>302</v>
      <v>302</v>
      <v>302</v>
      <v>302</v>
      <v>302</v>
      <v>302</v>
    </spb>
    <spb s="0">
      <v xml:space="preserve">Wikipedia	</v>
      <v xml:space="preserve">CC BY-SA 3.0	</v>
      <v xml:space="preserve">https://en.wikipedia.org/wiki/Weed,_California	</v>
      <v xml:space="preserve">https://creativecommons.org/licenses/by-sa/3.0	</v>
    </spb>
    <spb s="1">
      <v>304</v>
      <v>304</v>
      <v>304</v>
      <v>304</v>
      <v>304</v>
      <v>304</v>
      <v>304</v>
      <v>304</v>
      <v>304</v>
      <v>304</v>
    </spb>
    <spb s="0">
      <v xml:space="preserve">Wikipedia	</v>
      <v xml:space="preserve">CC BY-SA 3.0	</v>
      <v xml:space="preserve">https://en.wikipedia.org/wiki/West_Covina,_California	</v>
      <v xml:space="preserve">https://creativecommons.org/licenses/by-sa/3.0	</v>
    </spb>
    <spb s="1">
      <v>306</v>
      <v>306</v>
      <v>306</v>
      <v>306</v>
      <v>306</v>
      <v>306</v>
      <v>306</v>
      <v>306</v>
      <v>306</v>
      <v>306</v>
    </spb>
    <spb s="0">
      <v xml:space="preserve">Wikipedia	</v>
      <v xml:space="preserve">CC BY-SA 3.0	</v>
      <v xml:space="preserve">https://en.wikipedia.org/wiki/Williams,_California	</v>
      <v xml:space="preserve">https://creativecommons.org/licenses/by-sa/3.0	</v>
    </spb>
    <spb s="1">
      <v>308</v>
      <v>308</v>
      <v>308</v>
      <v>308</v>
      <v>308</v>
      <v>308</v>
      <v>308</v>
      <v>308</v>
      <v>308</v>
      <v>308</v>
    </spb>
    <spb s="0">
      <v xml:space="preserve">Wikipedia	</v>
      <v xml:space="preserve">CC BY-SA 3.0	</v>
      <v xml:space="preserve">https://en.wikipedia.org/wiki/Willits,_California	</v>
      <v xml:space="preserve">https://creativecommons.org/licenses/by-sa/3.0	</v>
    </spb>
    <spb s="1">
      <v>310</v>
      <v>310</v>
      <v>310</v>
      <v>310</v>
      <v>310</v>
      <v>310</v>
      <v>310</v>
      <v>310</v>
      <v>310</v>
      <v>310</v>
    </spb>
    <spb s="0">
      <v xml:space="preserve">Wikipedia	</v>
      <v xml:space="preserve">CC BY-SA 3.0	</v>
      <v xml:space="preserve">https://en.wikipedia.org/wiki/Willows,_California	</v>
      <v xml:space="preserve">https://creativecommons.org/licenses/by-sa/3.0	</v>
    </spb>
    <spb s="1">
      <v>312</v>
      <v>312</v>
      <v>312</v>
      <v>312</v>
      <v>312</v>
      <v>312</v>
      <v>312</v>
      <v>312</v>
      <v>312</v>
      <v>312</v>
    </spb>
    <spb s="0">
      <v xml:space="preserve">Wikipedia	</v>
      <v xml:space="preserve">CC BY-SA 3.0	</v>
      <v xml:space="preserve">https://en.wikipedia.org/wiki/Woodland,_California	</v>
      <v xml:space="preserve">https://creativecommons.org/licenses/by-sa/3.0	</v>
    </spb>
    <spb s="1">
      <v>314</v>
      <v>314</v>
      <v>314</v>
      <v>314</v>
      <v>314</v>
      <v>314</v>
      <v>314</v>
      <v>314</v>
      <v>314</v>
      <v>314</v>
    </spb>
    <spb s="0">
      <v xml:space="preserve">Wikipedia	</v>
      <v xml:space="preserve">CC BY-SA 3.0	</v>
      <v xml:space="preserve">https://en.wikipedia.org/wiki/Yreka,_California	</v>
      <v xml:space="preserve">https://creativecommons.org/licenses/by-sa/3.0	</v>
    </spb>
    <spb s="1">
      <v>316</v>
      <v>316</v>
      <v>316</v>
      <v>316</v>
      <v>316</v>
      <v>316</v>
      <v>316</v>
      <v>316</v>
      <v>316</v>
      <v>316</v>
    </spb>
    <spb s="0">
      <v xml:space="preserve">Wikipedia	</v>
      <v xml:space="preserve">CC BY-SA 3.0	</v>
      <v xml:space="preserve">https://en.wikipedia.org/wiki/Yuba_City,_California	</v>
      <v xml:space="preserve">https://creativecommons.org/licenses/by-sa/3.0	</v>
    </spb>
    <spb s="1">
      <v>318</v>
      <v>318</v>
      <v>318</v>
      <v>318</v>
      <v>318</v>
      <v>318</v>
      <v>318</v>
      <v>318</v>
      <v>318</v>
      <v>318</v>
    </spb>
    <spb s="0">
      <v xml:space="preserve">Wikipedia	</v>
      <v xml:space="preserve">CC BY-SA 3.0	</v>
      <v xml:space="preserve">https://en.wikipedia.org/wiki/Yucaipa,_California	</v>
      <v xml:space="preserve">https://creativecommons.org/licenses/by-sa/3.0	</v>
    </spb>
    <spb s="1">
      <v>320</v>
      <v>320</v>
      <v>320</v>
      <v>320</v>
      <v>320</v>
      <v>320</v>
      <v>320</v>
      <v>320</v>
      <v>320</v>
      <v>320</v>
    </spb>
    <spb s="0">
      <v xml:space="preserve">Wikipedia	</v>
      <v xml:space="preserve">CC BY-SA 3.0	</v>
      <v xml:space="preserve">https://en.wikipedia.org/wiki/Albany,_Oregon	</v>
      <v xml:space="preserve">https://creativecommons.org/licenses/by-sa/3.0	</v>
    </spb>
    <spb s="1">
      <v>322</v>
      <v>322</v>
      <v>322</v>
      <v>322</v>
      <v>322</v>
      <v>322</v>
      <v>322</v>
      <v>322</v>
      <v>322</v>
      <v>322</v>
    </spb>
    <spb s="0">
      <v xml:space="preserve">Wikipedia	</v>
      <v xml:space="preserve">CC BY-SA 3.0	</v>
      <v xml:space="preserve">https://en.wikipedia.org/wiki/Ashland,_Oregon	</v>
      <v xml:space="preserve">https://creativecommons.org/licenses/by-sa/3.0	</v>
    </spb>
    <spb s="1">
      <v>324</v>
      <v>324</v>
      <v>324</v>
      <v>324</v>
      <v>324</v>
      <v>324</v>
      <v>324</v>
      <v>324</v>
      <v>324</v>
      <v>324</v>
    </spb>
    <spb s="0">
      <v xml:space="preserve">Wikipedia	</v>
      <v xml:space="preserve">CC BY-SA 3.0	</v>
      <v xml:space="preserve">https://en.wikipedia.org/wiki/Astoria,_Oregon	</v>
      <v xml:space="preserve">https://creativecommons.org/licenses/by-sa/3.0	</v>
    </spb>
    <spb s="1">
      <v>326</v>
      <v>326</v>
      <v>326</v>
      <v>326</v>
      <v>326</v>
      <v>326</v>
      <v>326</v>
      <v>326</v>
      <v>326</v>
      <v>326</v>
    </spb>
    <spb s="0">
      <v xml:space="preserve">Wikipedia	</v>
      <v xml:space="preserve">CC BY-SA 3.0	</v>
      <v xml:space="preserve">https://en.wikipedia.org/wiki/Baker_City,_Oregon	</v>
      <v xml:space="preserve">https://creativecommons.org/licenses/by-sa/3.0	</v>
    </spb>
    <spb s="1">
      <v>328</v>
      <v>328</v>
      <v>328</v>
      <v>328</v>
      <v>328</v>
      <v>328</v>
      <v>328</v>
      <v>328</v>
      <v>328</v>
      <v>328</v>
    </spb>
    <spb s="0">
      <v xml:space="preserve">Wikipedia	</v>
      <v xml:space="preserve">CC BY-SA 3.0	</v>
      <v xml:space="preserve">https://en.wikipedia.org/wiki/Bandon,_Oregon	</v>
      <v xml:space="preserve">https://creativecommons.org/licenses/by-sa/3.0	</v>
    </spb>
    <spb s="1">
      <v>330</v>
      <v>330</v>
      <v>330</v>
      <v>330</v>
      <v>330</v>
      <v>330</v>
      <v>330</v>
      <v>330</v>
      <v>330</v>
      <v>330</v>
    </spb>
    <spb s="0">
      <v xml:space="preserve">Wikipedia	</v>
      <v xml:space="preserve">CC BY-SA 3.0	</v>
      <v xml:space="preserve">https://en.wikipedia.org/wiki/Beaverton,_Oregon	</v>
      <v xml:space="preserve">https://creativecommons.org/licenses/by-sa/3.0	</v>
    </spb>
    <spb s="1">
      <v>332</v>
      <v>332</v>
      <v>332</v>
      <v>332</v>
      <v>332</v>
      <v>332</v>
      <v>332</v>
      <v>332</v>
      <v>332</v>
      <v>332</v>
    </spb>
    <spb s="0">
      <v xml:space="preserve">Wikipedia	</v>
      <v xml:space="preserve">CC BY-SA 3.0	</v>
      <v xml:space="preserve">https://en.wikipedia.org/wiki/Bend,_Oregon	</v>
      <v xml:space="preserve">https://creativecommons.org/licenses/by-sa/3.0	</v>
    </spb>
    <spb s="1">
      <v>334</v>
      <v>334</v>
      <v>334</v>
      <v>334</v>
      <v>334</v>
      <v>334</v>
      <v>334</v>
      <v>334</v>
      <v>334</v>
      <v>334</v>
    </spb>
    <spb s="0">
      <v xml:space="preserve">Wikipedia	</v>
      <v xml:space="preserve">CC BY-SA 3.0	</v>
      <v xml:space="preserve">https://en.wikipedia.org/wiki/Brookings,_Oregon	</v>
      <v xml:space="preserve">https://creativecommons.org/licenses/by-sa/3.0	</v>
    </spb>
    <spb s="1">
      <v>336</v>
      <v>336</v>
      <v>336</v>
      <v>336</v>
      <v>336</v>
      <v>336</v>
      <v>336</v>
      <v>336</v>
      <v>336</v>
      <v>336</v>
    </spb>
    <spb s="0">
      <v xml:space="preserve">Wikipedia	</v>
      <v xml:space="preserve">CC BY-SA 3.0	</v>
      <v xml:space="preserve">https://en.wikipedia.org/wiki/Burns,_Oregon	</v>
      <v xml:space="preserve">https://creativecommons.org/licenses/by-sa/3.0	</v>
    </spb>
    <spb s="1">
      <v>338</v>
      <v>338</v>
      <v>338</v>
      <v>338</v>
      <v>338</v>
      <v>338</v>
      <v>338</v>
      <v>338</v>
      <v>338</v>
      <v>338</v>
    </spb>
    <spb s="0">
      <v xml:space="preserve">Wikipedia	</v>
      <v xml:space="preserve">CC BY-SA 3.0	</v>
      <v xml:space="preserve">https://en.wikipedia.org/wiki/Coos_Bay,_Oregon	</v>
      <v xml:space="preserve">https://creativecommons.org/licenses/by-sa/3.0	</v>
    </spb>
    <spb s="1">
      <v>340</v>
      <v>340</v>
      <v>340</v>
      <v>340</v>
      <v>340</v>
      <v>340</v>
      <v>340</v>
      <v>340</v>
      <v>340</v>
      <v>340</v>
    </spb>
    <spb s="0">
      <v xml:space="preserve">Wikipedia	</v>
      <v xml:space="preserve">CC BY-SA 3.0	</v>
      <v xml:space="preserve">https://en.wikipedia.org/wiki/Corvallis,_Oregon	</v>
      <v xml:space="preserve">https://creativecommons.org/licenses/by-sa/3.0	</v>
    </spb>
    <spb s="1">
      <v>342</v>
      <v>342</v>
      <v>342</v>
      <v>342</v>
      <v>342</v>
      <v>342</v>
      <v>342</v>
      <v>342</v>
      <v>342</v>
      <v>342</v>
    </spb>
    <spb s="0">
      <v xml:space="preserve">Wikipedia	</v>
      <v xml:space="preserve">CC BY-SA 3.0	</v>
      <v xml:space="preserve">https://en.wikipedia.org/wiki/Eugene,_Oregon	</v>
      <v xml:space="preserve">https://creativecommons.org/licenses/by-sa/3.0	</v>
    </spb>
    <spb s="1">
      <v>344</v>
      <v>344</v>
      <v>344</v>
      <v>344</v>
      <v>344</v>
      <v>344</v>
      <v>344</v>
      <v>344</v>
      <v>344</v>
      <v>344</v>
    </spb>
    <spb s="0">
      <v xml:space="preserve">Wikipedia	</v>
      <v xml:space="preserve">CC BY-SA 3.0	</v>
      <v xml:space="preserve">https://en.wikipedia.org/wiki/Florence,_Oregon	</v>
      <v xml:space="preserve">https://creativecommons.org/licenses/by-sa/3.0	</v>
    </spb>
    <spb s="1">
      <v>346</v>
      <v>346</v>
      <v>346</v>
      <v>346</v>
      <v>346</v>
      <v>346</v>
      <v>346</v>
      <v>346</v>
      <v>346</v>
      <v>346</v>
    </spb>
    <spb s="0">
      <v xml:space="preserve">Wikipedia	</v>
      <v xml:space="preserve">CC BY-SA 3.0	</v>
      <v xml:space="preserve">https://en.wikipedia.org/wiki/Grants_Pass,_Oregon	</v>
      <v xml:space="preserve">https://creativecommons.org/licenses/by-sa/3.0	</v>
    </spb>
    <spb s="1">
      <v>348</v>
      <v>348</v>
      <v>348</v>
      <v>348</v>
      <v>348</v>
      <v>348</v>
      <v>348</v>
      <v>348</v>
      <v>348</v>
      <v>348</v>
    </spb>
    <spb s="0">
      <v xml:space="preserve">Wikipedia	</v>
      <v xml:space="preserve">CC BY-SA 3.0	</v>
      <v xml:space="preserve">https://en.wikipedia.org/wiki/Gresham,_Oregon	</v>
      <v xml:space="preserve">https://creativecommons.org/licenses/by-sa/3.0	</v>
    </spb>
    <spb s="1">
      <v>350</v>
      <v>350</v>
      <v>350</v>
      <v>350</v>
      <v>350</v>
      <v>350</v>
      <v>350</v>
      <v>350</v>
      <v>350</v>
      <v>350</v>
    </spb>
    <spb s="0">
      <v xml:space="preserve">Wikipedia	</v>
      <v xml:space="preserve">CC BY-SA 3.0	</v>
      <v xml:space="preserve">https://en.wikipedia.org/wiki/Hillsboro,_Oregon	</v>
      <v xml:space="preserve">https://creativecommons.org/licenses/by-sa/3.0	</v>
    </spb>
    <spb s="1">
      <v>352</v>
      <v>352</v>
      <v>352</v>
      <v>352</v>
      <v>352</v>
      <v>352</v>
      <v>352</v>
      <v>352</v>
      <v>352</v>
      <v>352</v>
    </spb>
    <spb s="0">
      <v xml:space="preserve">Wikipedia	</v>
      <v xml:space="preserve">CC BY-SA 3.0	</v>
      <v xml:space="preserve">https://en.wikipedia.org/wiki/Klamath_Falls,_Oregon	</v>
      <v xml:space="preserve">https://creativecommons.org/licenses/by-sa/3.0	</v>
    </spb>
    <spb s="1">
      <v>354</v>
      <v>354</v>
      <v>354</v>
      <v>354</v>
      <v>354</v>
      <v>354</v>
      <v>354</v>
      <v>354</v>
      <v>354</v>
      <v>354</v>
    </spb>
    <spb s="0">
      <v xml:space="preserve">Wikipedia	</v>
      <v xml:space="preserve">CC BY-SA 3.0	</v>
      <v xml:space="preserve">https://en.wikipedia.org/wiki/Lakeview,_Oregon	</v>
      <v xml:space="preserve">https://creativecommons.org/licenses/by-sa/3.0	</v>
    </spb>
    <spb s="1">
      <v>356</v>
      <v>356</v>
      <v>356</v>
      <v>356</v>
      <v>356</v>
      <v>356</v>
      <v>356</v>
      <v>356</v>
      <v>356</v>
      <v>356</v>
    </spb>
    <spb s="0">
      <v xml:space="preserve">Wikipedia	</v>
      <v xml:space="preserve">CC BY-SA 3.0	</v>
      <v xml:space="preserve">https://en.wikipedia.org/wiki/Lincoln_City,_Oregon	</v>
      <v xml:space="preserve">https://creativecommons.org/licenses/by-sa/3.0	</v>
    </spb>
    <spb s="1">
      <v>358</v>
      <v>358</v>
      <v>358</v>
      <v>358</v>
      <v>358</v>
      <v>358</v>
      <v>358</v>
      <v>358</v>
      <v>358</v>
      <v>358</v>
    </spb>
    <spb s="0">
      <v xml:space="preserve">Wikipedia	</v>
      <v xml:space="preserve">CC BY-SA 3.0	</v>
      <v xml:space="preserve">https://en.wikipedia.org/wiki/Medford,_Oregon	</v>
      <v xml:space="preserve">https://creativecommons.org/licenses/by-sa/3.0	</v>
    </spb>
    <spb s="1">
      <v>360</v>
      <v>360</v>
      <v>360</v>
      <v>360</v>
      <v>360</v>
      <v>360</v>
      <v>360</v>
      <v>360</v>
      <v>360</v>
      <v>360</v>
    </spb>
    <spb s="0">
      <v xml:space="preserve">Wikipedia	</v>
      <v xml:space="preserve">CC BY-SA 3.0	</v>
      <v xml:space="preserve">https://en.wikipedia.org/wiki/Newport,_Oregon	</v>
      <v xml:space="preserve">https://creativecommons.org/licenses/by-sa/3.0	</v>
    </spb>
    <spb s="1">
      <v>362</v>
      <v>362</v>
      <v>362</v>
      <v>362</v>
      <v>362</v>
      <v>362</v>
      <v>362</v>
      <v>362</v>
      <v>362</v>
      <v>362</v>
    </spb>
    <spb s="0">
      <v xml:space="preserve">Wikipedia	</v>
      <v xml:space="preserve">CC BY-SA 3.0	</v>
      <v xml:space="preserve">https://en.wikipedia.org/wiki/Ontario,_Oregon	</v>
      <v xml:space="preserve">https://creativecommons.org/licenses/by-sa/3.0	</v>
    </spb>
    <spb s="1">
      <v>364</v>
      <v>364</v>
      <v>364</v>
      <v>364</v>
      <v>364</v>
      <v>364</v>
      <v>364</v>
      <v>364</v>
      <v>364</v>
      <v>364</v>
    </spb>
    <spb s="0">
      <v xml:space="preserve">Wikipedia	</v>
      <v xml:space="preserve">CC BY-SA 3.0	</v>
      <v xml:space="preserve">https://en.wikipedia.org/wiki/Portland,_Oregon	</v>
      <v xml:space="preserve">https://creativecommons.org/licenses/by-sa/3.0	</v>
    </spb>
    <spb s="1">
      <v>366</v>
      <v>366</v>
      <v>366</v>
      <v>366</v>
      <v>366</v>
      <v>366</v>
      <v>366</v>
      <v>366</v>
      <v>366</v>
      <v>366</v>
    </spb>
    <spb s="0">
      <v xml:space="preserve">Wikipedia	</v>
      <v xml:space="preserve">CC BY-SA 3.0	</v>
      <v xml:space="preserve">https://en.wikipedia.org/wiki/Roseburg,_Oregon	</v>
      <v xml:space="preserve">https://creativecommons.org/licenses/by-sa/3.0	</v>
    </spb>
    <spb s="1">
      <v>368</v>
      <v>368</v>
      <v>368</v>
      <v>368</v>
      <v>368</v>
      <v>368</v>
      <v>368</v>
      <v>368</v>
      <v>368</v>
      <v>368</v>
    </spb>
    <spb s="0">
      <v xml:space="preserve">Wikipedia	</v>
      <v xml:space="preserve">CC BY-SA 3.0	</v>
      <v xml:space="preserve">https://en.wikipedia.org/wiki/Salem,_Oregon	</v>
      <v xml:space="preserve">https://creativecommons.org/licenses/by-sa/3.0	</v>
    </spb>
    <spb s="1">
      <v>370</v>
      <v>370</v>
      <v>370</v>
      <v>370</v>
      <v>370</v>
      <v>370</v>
      <v>370</v>
      <v>370</v>
      <v>370</v>
      <v>370</v>
    </spb>
    <spb s="0">
      <v xml:space="preserve">Wikipedia	</v>
      <v xml:space="preserve">CC BY-SA 3.0	</v>
      <v xml:space="preserve">https://en.wikipedia.org/wiki/Austin,_Nevada	</v>
      <v xml:space="preserve">https://creativecommons.org/licenses/by-sa/3.0	</v>
    </spb>
    <spb s="1">
      <v>372</v>
      <v>372</v>
      <v>372</v>
      <v>372</v>
      <v>372</v>
      <v>372</v>
      <v>372</v>
      <v>372</v>
      <v>372</v>
      <v>372</v>
    </spb>
    <spb s="0">
      <v xml:space="preserve">Wikipedia	</v>
      <v xml:space="preserve">CC BY-SA 3.0	</v>
      <v xml:space="preserve">https://en.wikipedia.org/wiki/Battle_Mountain,_Nevada	</v>
      <v xml:space="preserve">https://creativecommons.org/licenses/by-sa/3.0	</v>
    </spb>
    <spb s="1">
      <v>374</v>
      <v>374</v>
      <v>374</v>
      <v>374</v>
      <v>374</v>
      <v>374</v>
      <v>374</v>
      <v>374</v>
      <v>374</v>
      <v>374</v>
    </spb>
    <spb s="0">
      <v xml:space="preserve">Wikipedia	</v>
      <v xml:space="preserve">CC BY-SA 3.0	</v>
      <v xml:space="preserve">https://en.wikipedia.org/wiki/Carlin,_Nevada	</v>
      <v xml:space="preserve">https://creativecommons.org/licenses/by-sa/3.0	</v>
    </spb>
    <spb s="12">
      <v>376</v>
      <v>376</v>
      <v>376</v>
      <v>376</v>
      <v>376</v>
      <v>376</v>
      <v>376</v>
      <v>376</v>
      <v>376</v>
    </spb>
    <spb s="2">
      <v>9</v>
      <v>Name</v>
      <v>LearnMoreOnLink</v>
    </spb>
    <spb s="0">
      <v xml:space="preserve">Wikipedia	</v>
      <v xml:space="preserve">CC BY-SA 3.0	</v>
      <v xml:space="preserve">https://en.wikipedia.org/wiki/Carson_City,_Nevada	</v>
      <v xml:space="preserve">https://creativecommons.org/licenses/by-sa/3.0	</v>
    </spb>
    <spb s="12">
      <v>379</v>
      <v>379</v>
      <v>379</v>
      <v>379</v>
      <v>379</v>
      <v>379</v>
      <v>379</v>
      <v>379</v>
      <v>379</v>
    </spb>
    <spb s="0">
      <v xml:space="preserve">Wikipedia	</v>
      <v xml:space="preserve">CC BY-SA 3.0	</v>
      <v xml:space="preserve">https://en.wikipedia.org/wiki/Elko,_Nevada	</v>
      <v xml:space="preserve">https://creativecommons.org/licenses/by-sa/3.0	</v>
    </spb>
    <spb s="1">
      <v>381</v>
      <v>381</v>
      <v>381</v>
      <v>381</v>
      <v>381</v>
      <v>381</v>
      <v>381</v>
      <v>381</v>
      <v>381</v>
      <v>381</v>
    </spb>
    <spb s="0">
      <v xml:space="preserve">Wikipedia	</v>
      <v xml:space="preserve">CC BY-SA 3.0	</v>
      <v xml:space="preserve">https://en.wikipedia.org/wiki/Ely,_Nevada	</v>
      <v xml:space="preserve">https://creativecommons.org/licenses/by-sa/3.0	</v>
    </spb>
    <spb s="1">
      <v>383</v>
      <v>383</v>
      <v>383</v>
      <v>383</v>
      <v>383</v>
      <v>383</v>
      <v>383</v>
      <v>383</v>
      <v>383</v>
      <v>383</v>
    </spb>
    <spb s="0">
      <v xml:space="preserve">Wikipedia	</v>
      <v xml:space="preserve">CC BY-SA 3.0	</v>
      <v xml:space="preserve">https://en.wikipedia.org/wiki/Eureka,_Nevada	</v>
      <v xml:space="preserve">https://creativecommons.org/licenses/by-sa/3.0	</v>
    </spb>
    <spb s="1">
      <v>385</v>
      <v>385</v>
      <v>385</v>
      <v>385</v>
      <v>385</v>
      <v>385</v>
      <v>385</v>
      <v>385</v>
      <v>385</v>
      <v>385</v>
    </spb>
    <spb s="0">
      <v xml:space="preserve">Wikipedia	</v>
      <v xml:space="preserve">CC BY-SA 3.0	</v>
      <v xml:space="preserve">https://en.wikipedia.org/wiki/Fallon,_Nevada	</v>
      <v xml:space="preserve">https://creativecommons.org/licenses/by-sa/3.0	</v>
    </spb>
    <spb s="1">
      <v>387</v>
      <v>387</v>
      <v>387</v>
      <v>387</v>
      <v>387</v>
      <v>387</v>
      <v>387</v>
      <v>387</v>
      <v>387</v>
      <v>387</v>
    </spb>
    <spb s="0">
      <v xml:space="preserve">Wikipedia	</v>
      <v xml:space="preserve">CC BY-SA 3.0	</v>
      <v xml:space="preserve">https://en.wikipedia.org/wiki/Fernley,_Nevada	</v>
      <v xml:space="preserve">https://creativecommons.org/licenses/by-sa/3.0	</v>
    </spb>
    <spb s="1">
      <v>389</v>
      <v>389</v>
      <v>389</v>
      <v>389</v>
      <v>389</v>
      <v>389</v>
      <v>389</v>
      <v>389</v>
      <v>389</v>
      <v>389</v>
    </spb>
    <spb s="0">
      <v xml:space="preserve">Wikipedia	</v>
      <v xml:space="preserve">CC BY-SA 3.0	</v>
      <v xml:space="preserve">https://en.wikipedia.org/wiki/Henderson,_Nevada	</v>
      <v xml:space="preserve">https://creativecommons.org/licenses/by-sa/3.0	</v>
    </spb>
    <spb s="1">
      <v>391</v>
      <v>391</v>
      <v>391</v>
      <v>391</v>
      <v>391</v>
      <v>391</v>
      <v>391</v>
      <v>391</v>
      <v>391</v>
      <v>391</v>
    </spb>
    <spb s="0">
      <v xml:space="preserve">Wikipedia	</v>
      <v xml:space="preserve">CC BY-SA 3.0	</v>
      <v xml:space="preserve">https://en.wikipedia.org/wiki/Lund,_Nevada	</v>
      <v xml:space="preserve">https://creativecommons.org/licenses/by-sa/3.0	</v>
    </spb>
    <spb s="1">
      <v>393</v>
      <v>393</v>
      <v>393</v>
      <v>393</v>
      <v>393</v>
      <v>393</v>
      <v>393</v>
      <v>393</v>
      <v>393</v>
      <v>393</v>
    </spb>
    <spb s="0">
      <v xml:space="preserve">Wikipedia	</v>
      <v xml:space="preserve">CC BY-SA 3.0	</v>
      <v xml:space="preserve">https://en.wikipedia.org/wiki/North_Las_Vegas,_Nevada	</v>
      <v xml:space="preserve">https://creativecommons.org/licenses/by-sa/3.0	</v>
    </spb>
    <spb s="1">
      <v>395</v>
      <v>395</v>
      <v>395</v>
      <v>395</v>
      <v>395</v>
      <v>395</v>
      <v>395</v>
      <v>395</v>
      <v>395</v>
      <v>395</v>
    </spb>
    <spb s="0">
      <v xml:space="preserve">Wikipedia	</v>
      <v xml:space="preserve">CC BY-SA 3.0	</v>
      <v xml:space="preserve">https://en.wikipedia.org/wiki/Pahrump,_Nevada	</v>
      <v xml:space="preserve">https://creativecommons.org/licenses/by-sa/3.0	</v>
    </spb>
    <spb s="1">
      <v>397</v>
      <v>397</v>
      <v>397</v>
      <v>397</v>
      <v>397</v>
      <v>397</v>
      <v>397</v>
      <v>397</v>
      <v>397</v>
      <v>397</v>
    </spb>
    <spb s="0">
      <v xml:space="preserve">Wikipedia	</v>
      <v xml:space="preserve">CC BY-SA 3.0	</v>
      <v xml:space="preserve">https://en.wikipedia.org/wiki/Paradise,_Nevada	</v>
      <v xml:space="preserve">https://creativecommons.org/licenses/by-sa/3.0	</v>
    </spb>
    <spb s="1">
      <v>399</v>
      <v>399</v>
      <v>399</v>
      <v>399</v>
      <v>399</v>
      <v>399</v>
      <v>399</v>
      <v>399</v>
      <v>399</v>
      <v>399</v>
    </spb>
    <spb s="0">
      <v xml:space="preserve">Wikipedia	</v>
      <v xml:space="preserve">CC BY-SA 3.0	</v>
      <v xml:space="preserve">https://en.wikipedia.org/wiki/Reno,_Nevada	</v>
      <v xml:space="preserve">https://creativecommons.org/licenses/by-sa/3.0	</v>
    </spb>
    <spb s="1">
      <v>401</v>
      <v>401</v>
      <v>401</v>
      <v>401</v>
      <v>401</v>
      <v>401</v>
      <v>401</v>
      <v>401</v>
      <v>401</v>
      <v>401</v>
    </spb>
    <spb s="0">
      <v xml:space="preserve">Wikipedia	</v>
      <v xml:space="preserve">CC BY-SA 3.0	</v>
      <v xml:space="preserve">https://en.wikipedia.org/wiki/Sparks,_Nevada	</v>
      <v xml:space="preserve">https://creativecommons.org/licenses/by-sa/3.0	</v>
    </spb>
    <spb s="1">
      <v>403</v>
      <v>403</v>
      <v>403</v>
      <v>403</v>
      <v>403</v>
      <v>403</v>
      <v>403</v>
      <v>403</v>
      <v>403</v>
      <v>403</v>
    </spb>
    <spb s="0">
      <v xml:space="preserve">Wikipedia	</v>
      <v xml:space="preserve">CC BY-SA 3.0	</v>
      <v xml:space="preserve">https://en.wikipedia.org/wiki/Spring_Valley,_Nevada	</v>
      <v xml:space="preserve">https://creativecommons.org/licenses/by-sa/3.0	</v>
    </spb>
    <spb s="1">
      <v>405</v>
      <v>405</v>
      <v>405</v>
      <v>405</v>
      <v>405</v>
      <v>405</v>
      <v>405</v>
      <v>405</v>
      <v>405</v>
      <v>405</v>
    </spb>
    <spb s="0">
      <v xml:space="preserve">Wikipedia	</v>
      <v xml:space="preserve">CC BY-SA 3.0	</v>
      <v xml:space="preserve">https://en.wikipedia.org/wiki/Tonopah,_Nevada	</v>
      <v xml:space="preserve">https://creativecommons.org/licenses/by-sa/3.0	</v>
    </spb>
    <spb s="1">
      <v>407</v>
      <v>407</v>
      <v>407</v>
      <v>407</v>
      <v>407</v>
      <v>407</v>
      <v>407</v>
      <v>407</v>
      <v>407</v>
      <v>407</v>
    </spb>
    <spb s="0">
      <v xml:space="preserve">Wikipedia	</v>
      <v xml:space="preserve">CC BY-SA 3.0	</v>
      <v xml:space="preserve">https://en.wikipedia.org/wiki/Winnemucca,_Nevada	</v>
      <v xml:space="preserve">https://creativecommons.org/licenses/by-sa/3.0	</v>
    </spb>
    <spb s="1">
      <v>409</v>
      <v>409</v>
      <v>409</v>
      <v>409</v>
      <v>409</v>
      <v>409</v>
      <v>409</v>
      <v>409</v>
      <v>409</v>
      <v>409</v>
    </spb>
    <spb s="0">
      <v xml:space="preserve">Wikipedia	</v>
      <v xml:space="preserve">CC BY-SA 3.0	</v>
      <v xml:space="preserve">https://en.wikipedia.org/wiki/Yerington,_Nevada	</v>
      <v xml:space="preserve">https://creativecommons.org/licenses/by-sa/3.0	</v>
    </spb>
    <spb s="1">
      <v>411</v>
      <v>411</v>
      <v>411</v>
      <v>411</v>
      <v>411</v>
      <v>411</v>
      <v>411</v>
      <v>411</v>
      <v>411</v>
      <v>411</v>
    </spb>
    <spb s="0">
      <v xml:space="preserve">Wikipedia	</v>
      <v xml:space="preserve">CC BY-SA 3.0	</v>
      <v xml:space="preserve">https://en.wikipedia.org/wiki/Auburn,_Washington	</v>
      <v xml:space="preserve">https://creativecommons.org/licenses/by-sa/3.0	</v>
    </spb>
    <spb s="1">
      <v>413</v>
      <v>413</v>
      <v>413</v>
      <v>413</v>
      <v>413</v>
      <v>413</v>
      <v>413</v>
      <v>413</v>
      <v>413</v>
      <v>413</v>
    </spb>
    <spb s="0">
      <v xml:space="preserve">Wikipedia	</v>
      <v xml:space="preserve">CC BY-SA 3.0	</v>
      <v xml:space="preserve">https://en.wikipedia.org/wiki/Bellevue,_Washington	</v>
      <v xml:space="preserve">https://creativecommons.org/licenses/by-sa/3.0	</v>
    </spb>
    <spb s="1">
      <v>415</v>
      <v>415</v>
      <v>415</v>
      <v>415</v>
      <v>415</v>
      <v>415</v>
      <v>415</v>
      <v>415</v>
      <v>415</v>
      <v>415</v>
    </spb>
    <spb s="0">
      <v xml:space="preserve">Wikipedia	</v>
      <v xml:space="preserve">CC BY-SA 3.0	</v>
      <v xml:space="preserve">https://en.wikipedia.org/wiki/Bellingham,_Washington	</v>
      <v xml:space="preserve">https://creativecommons.org/licenses/by-sa/3.0	</v>
    </spb>
    <spb s="1">
      <v>417</v>
      <v>417</v>
      <v>417</v>
      <v>417</v>
      <v>417</v>
      <v>417</v>
      <v>417</v>
      <v>417</v>
      <v>417</v>
      <v>417</v>
    </spb>
    <spb s="0">
      <v xml:space="preserve">Wikipedia	</v>
      <v xml:space="preserve">CC BY-SA 3.0	</v>
      <v xml:space="preserve">https://en.wikipedia.org/wiki/Castle_Rock,_Washington	</v>
      <v xml:space="preserve">https://creativecommons.org/licenses/by-sa/3.0	</v>
    </spb>
    <spb s="1">
      <v>419</v>
      <v>419</v>
      <v>419</v>
      <v>419</v>
      <v>419</v>
      <v>419</v>
      <v>419</v>
      <v>419</v>
      <v>419</v>
      <v>419</v>
    </spb>
    <spb s="0">
      <v xml:space="preserve">Wikipedia	</v>
      <v xml:space="preserve">CC BY-SA 3.0	</v>
      <v xml:space="preserve">https://en.wikipedia.org/wiki/Colville,_Washington	</v>
      <v xml:space="preserve">https://creativecommons.org/licenses/by-sa/3.0	</v>
    </spb>
    <spb s="1">
      <v>421</v>
      <v>421</v>
      <v>421</v>
      <v>421</v>
      <v>421</v>
      <v>421</v>
      <v>421</v>
      <v>421</v>
      <v>421</v>
      <v>421</v>
    </spb>
    <spb s="0">
      <v xml:space="preserve">Wikipedia	</v>
      <v xml:space="preserve">CC BY-SA 3.0	</v>
      <v xml:space="preserve">https://en.wikipedia.org/wiki/Copalis_Beach,_Washington	</v>
      <v xml:space="preserve">https://creativecommons.org/licenses/by-sa/3.0	</v>
    </spb>
    <spb s="1">
      <v>423</v>
      <v>423</v>
      <v>423</v>
      <v>423</v>
      <v>423</v>
      <v>423</v>
      <v>423</v>
      <v>423</v>
      <v>423</v>
      <v>423</v>
    </spb>
    <spb s="0">
      <v xml:space="preserve">Wikipedia	</v>
      <v xml:space="preserve">CC BY-SA 3.0	</v>
      <v xml:space="preserve">https://en.wikipedia.org/wiki/Edmonds,_Washington	</v>
      <v xml:space="preserve">https://creativecommons.org/licenses/by-sa/3.0	</v>
    </spb>
    <spb s="1">
      <v>425</v>
      <v>425</v>
      <v>425</v>
      <v>425</v>
      <v>425</v>
      <v>425</v>
      <v>425</v>
      <v>425</v>
      <v>425</v>
      <v>425</v>
    </spb>
    <spb s="0">
      <v xml:space="preserve">Wikipedia	</v>
      <v xml:space="preserve">CC BY-SA 3.0	</v>
      <v xml:space="preserve">https://en.wikipedia.org/wiki/Ellensburg,_Washington	</v>
      <v xml:space="preserve">https://creativecommons.org/licenses/by-sa/3.0	</v>
    </spb>
    <spb s="1">
      <v>427</v>
      <v>427</v>
      <v>427</v>
      <v>427</v>
      <v>427</v>
      <v>427</v>
      <v>427</v>
      <v>427</v>
      <v>427</v>
      <v>427</v>
    </spb>
    <spb s="0">
      <v xml:space="preserve">Wikipedia	</v>
      <v xml:space="preserve">CC BY-SA 3.0	</v>
      <v xml:space="preserve">https://en.wikipedia.org/wiki/Everett,_Washington	</v>
      <v xml:space="preserve">https://creativecommons.org/licenses/by-sa/3.0	</v>
    </spb>
    <spb s="1">
      <v>429</v>
      <v>429</v>
      <v>429</v>
      <v>429</v>
      <v>429</v>
      <v>429</v>
      <v>429</v>
      <v>429</v>
      <v>429</v>
      <v>429</v>
    </spb>
    <spb s="0">
      <v xml:space="preserve">Wikipedia	</v>
      <v xml:space="preserve">CC BY-SA 3.0	</v>
      <v xml:space="preserve">https://en.wikipedia.org/wiki/Kennewick,_Washington	</v>
      <v xml:space="preserve">https://creativecommons.org/licenses/by-sa/3.0	</v>
    </spb>
    <spb s="1">
      <v>431</v>
      <v>431</v>
      <v>431</v>
      <v>431</v>
      <v>431</v>
      <v>431</v>
      <v>431</v>
      <v>431</v>
      <v>431</v>
      <v>431</v>
    </spb>
    <spb s="0">
      <v xml:space="preserve">Wikipedia	</v>
      <v xml:space="preserve">CC BY-SA 3.0	</v>
      <v xml:space="preserve">https://en.wikipedia.org/wiki/Kent,_Washington	</v>
      <v xml:space="preserve">https://creativecommons.org/licenses/by-sa/3.0	</v>
    </spb>
    <spb s="1">
      <v>433</v>
      <v>433</v>
      <v>433</v>
      <v>433</v>
      <v>433</v>
      <v>433</v>
      <v>433</v>
      <v>433</v>
      <v>433</v>
      <v>433</v>
    </spb>
    <spb s="0">
      <v xml:space="preserve">Wikipedia	</v>
      <v xml:space="preserve">CC BY-SA 3.0	</v>
      <v xml:space="preserve">https://en.wikipedia.org/wiki/Kettle_Falls,_Washington	</v>
      <v xml:space="preserve">https://creativecommons.org/licenses/by-sa/3.0	</v>
    </spb>
    <spb s="1">
      <v>435</v>
      <v>435</v>
      <v>435</v>
      <v>435</v>
      <v>435</v>
      <v>435</v>
      <v>435</v>
      <v>435</v>
      <v>435</v>
      <v>435</v>
    </spb>
    <spb s="0">
      <v xml:space="preserve">Wikipedia	</v>
      <v xml:space="preserve">CC BY-SA 3.0	</v>
      <v xml:space="preserve">https://en.wikipedia.org/wiki/Kirkland,_Washington	</v>
      <v xml:space="preserve">https://creativecommons.org/licenses/by-sa/3.0	</v>
    </spb>
    <spb s="1">
      <v>437</v>
      <v>437</v>
      <v>437</v>
      <v>437</v>
      <v>437</v>
      <v>437</v>
      <v>437</v>
      <v>437</v>
      <v>437</v>
      <v>437</v>
    </spb>
    <spb s="0">
      <v xml:space="preserve">Wikipedia	</v>
      <v xml:space="preserve">CC BY-SA 3.0	</v>
      <v xml:space="preserve">https://en.wikipedia.org/wiki/Leavenworth,_Washington	</v>
      <v xml:space="preserve">https://creativecommons.org/licenses/by-sa/3.0	</v>
    </spb>
    <spb s="1">
      <v>439</v>
      <v>439</v>
      <v>439</v>
      <v>439</v>
      <v>439</v>
      <v>439</v>
      <v>439</v>
      <v>439</v>
      <v>439</v>
      <v>439</v>
    </spb>
    <spb s="0">
      <v xml:space="preserve">Wikipedia	</v>
      <v xml:space="preserve">CC BY-SA 3.0	</v>
      <v xml:space="preserve">https://en.wikipedia.org/wiki/Longview,_Washington	</v>
      <v xml:space="preserve">https://creativecommons.org/licenses/by-sa/3.0	</v>
    </spb>
    <spb s="1">
      <v>441</v>
      <v>441</v>
      <v>441</v>
      <v>441</v>
      <v>441</v>
      <v>441</v>
      <v>441</v>
      <v>441</v>
      <v>441</v>
      <v>441</v>
    </spb>
    <spb s="0">
      <v xml:space="preserve">Wikipedia	</v>
      <v xml:space="preserve">CC BY-SA 3.0	</v>
      <v xml:space="preserve">https://en.wikipedia.org/wiki/Moses_Lake,_Washington	</v>
      <v xml:space="preserve">https://creativecommons.org/licenses/by-sa/3.0	</v>
    </spb>
    <spb s="1">
      <v>443</v>
      <v>443</v>
      <v>443</v>
      <v>443</v>
      <v>443</v>
      <v>443</v>
      <v>443</v>
      <v>443</v>
      <v>443</v>
      <v>443</v>
    </spb>
    <spb s="0">
      <v xml:space="preserve">Wikipedia	</v>
      <v xml:space="preserve">CC BY-SA 3.0	</v>
      <v xml:space="preserve">https://en.wikipedia.org/wiki/Neah_Bay,_Washington	</v>
      <v xml:space="preserve">https://creativecommons.org/licenses/by-sa/3.0	</v>
    </spb>
    <spb s="1">
      <v>445</v>
      <v>445</v>
      <v>445</v>
      <v>445</v>
      <v>445</v>
      <v>445</v>
      <v>445</v>
      <v>445</v>
      <v>445</v>
      <v>445</v>
    </spb>
    <spb s="0">
      <v xml:space="preserve">Wikipedia	</v>
      <v xml:space="preserve">CC BY-SA 3.0	</v>
      <v xml:space="preserve">https://en.wikipedia.org/wiki/Newport,_Washington	</v>
      <v xml:space="preserve">https://creativecommons.org/licenses/by-sa/3.0	</v>
    </spb>
    <spb s="1">
      <v>447</v>
      <v>447</v>
      <v>447</v>
      <v>447</v>
      <v>447</v>
      <v>447</v>
      <v>447</v>
      <v>447</v>
      <v>447</v>
      <v>447</v>
    </spb>
    <spb s="0">
      <v xml:space="preserve">Wikipedia	</v>
      <v xml:space="preserve">CC BY-SA 3.0	</v>
      <v xml:space="preserve">https://en.wikipedia.org/wiki/Olympia,_Washington	</v>
      <v xml:space="preserve">https://creativecommons.org/licenses/by-sa/3.0	</v>
    </spb>
    <spb s="1">
      <v>449</v>
      <v>449</v>
      <v>449</v>
      <v>449</v>
      <v>449</v>
      <v>449</v>
      <v>449</v>
      <v>449</v>
      <v>449</v>
      <v>449</v>
    </spb>
    <spb s="0">
      <v xml:space="preserve">Wikipedia	</v>
      <v xml:space="preserve">CC BY-SA 3.0	</v>
      <v xml:space="preserve">https://en.wikipedia.org/wiki/Omak,_Washington	</v>
      <v xml:space="preserve">https://creativecommons.org/licenses/by-sa/3.0	</v>
    </spb>
    <spb s="1">
      <v>451</v>
      <v>451</v>
      <v>451</v>
      <v>451</v>
      <v>451</v>
      <v>451</v>
      <v>451</v>
      <v>451</v>
      <v>451</v>
      <v>451</v>
    </spb>
    <spb s="0">
      <v xml:space="preserve">Wikipedia	</v>
      <v xml:space="preserve">CC BY-SA 3.0	</v>
      <v xml:space="preserve">https://en.wikipedia.org/wiki/Pullman,_Washington	</v>
      <v xml:space="preserve">https://creativecommons.org/licenses/by-sa/3.0	</v>
    </spb>
    <spb s="1">
      <v>453</v>
      <v>453</v>
      <v>453</v>
      <v>453</v>
      <v>453</v>
      <v>453</v>
      <v>453</v>
      <v>453</v>
      <v>453</v>
      <v>453</v>
    </spb>
    <spb s="0">
      <v xml:space="preserve">Wikipedia	</v>
      <v xml:space="preserve">CC BY-SA 3.0	</v>
      <v xml:space="preserve">https://en.wikipedia.org/wiki/Renton,_Washington	</v>
      <v xml:space="preserve">https://creativecommons.org/licenses/by-sa/3.0	</v>
    </spb>
    <spb s="1">
      <v>455</v>
      <v>455</v>
      <v>455</v>
      <v>455</v>
      <v>455</v>
      <v>455</v>
      <v>455</v>
      <v>455</v>
      <v>455</v>
      <v>455</v>
    </spb>
    <spb s="0">
      <v xml:space="preserve">Wikipedia	</v>
      <v xml:space="preserve">CC BY-SA 3.0	</v>
      <v xml:space="preserve">https://en.wikipedia.org/wiki/Seattle	</v>
      <v xml:space="preserve">https://creativecommons.org/licenses/by-sa/3.0	</v>
    </spb>
    <spb s="1">
      <v>457</v>
      <v>457</v>
      <v>457</v>
      <v>457</v>
      <v>457</v>
      <v>457</v>
      <v>457</v>
      <v>457</v>
      <v>457</v>
      <v>457</v>
    </spb>
    <spb s="0">
      <v xml:space="preserve">Wikipedia	</v>
      <v xml:space="preserve">CC BY-SA 3.0	</v>
      <v xml:space="preserve">https://en.wikipedia.org/wiki/Sequim,_Washington	</v>
      <v xml:space="preserve">https://creativecommons.org/licenses/by-sa/3.0	</v>
    </spb>
    <spb s="1">
      <v>459</v>
      <v>459</v>
      <v>459</v>
      <v>459</v>
      <v>459</v>
      <v>459</v>
      <v>459</v>
      <v>459</v>
      <v>459</v>
      <v>459</v>
    </spb>
    <spb s="0">
      <v xml:space="preserve">Wikipedia	</v>
      <v xml:space="preserve">CC BY-SA 3.0	</v>
      <v xml:space="preserve">https://en.wikipedia.org/wiki/Spokane,_Washington	</v>
      <v xml:space="preserve">https://creativecommons.org/licenses/by-sa/3.0	</v>
    </spb>
    <spb s="1">
      <v>461</v>
      <v>461</v>
      <v>461</v>
      <v>461</v>
      <v>461</v>
      <v>461</v>
      <v>461</v>
      <v>461</v>
      <v>461</v>
      <v>461</v>
    </spb>
    <spb s="0">
      <v xml:space="preserve">Wikipedia	</v>
      <v xml:space="preserve">CC BY-SA 3.0	</v>
      <v xml:space="preserve">https://en.wikipedia.org/wiki/Tacoma,_Washington	</v>
      <v xml:space="preserve">https://creativecommons.org/licenses/by-sa/3.0	</v>
    </spb>
    <spb s="1">
      <v>463</v>
      <v>463</v>
      <v>463</v>
      <v>463</v>
      <v>463</v>
      <v>463</v>
      <v>463</v>
      <v>463</v>
      <v>463</v>
      <v>463</v>
    </spb>
    <spb s="0">
      <v xml:space="preserve">Wikipedia	</v>
      <v xml:space="preserve">CC BY-SA 3.0	</v>
      <v xml:space="preserve">https://en.wikipedia.org/wiki/Vancouver,_Washington	</v>
      <v xml:space="preserve">https://creativecommons.org/licenses/by-sa/3.0	</v>
    </spb>
    <spb s="1">
      <v>465</v>
      <v>465</v>
      <v>465</v>
      <v>465</v>
      <v>465</v>
      <v>465</v>
      <v>465</v>
      <v>465</v>
      <v>465</v>
      <v>465</v>
    </spb>
    <spb s="0">
      <v xml:space="preserve">Wikipedia	</v>
      <v xml:space="preserve">CC BY-SA 3.0	</v>
      <v xml:space="preserve">https://en.wikipedia.org/wiki/Walla_Walla,_Washington	</v>
      <v xml:space="preserve">https://creativecommons.org/licenses/by-sa/3.0	</v>
    </spb>
    <spb s="1">
      <v>467</v>
      <v>467</v>
      <v>467</v>
      <v>467</v>
      <v>467</v>
      <v>467</v>
      <v>467</v>
      <v>467</v>
      <v>467</v>
      <v>467</v>
    </spb>
    <spb s="0">
      <v xml:space="preserve">Wikipedia	</v>
      <v xml:space="preserve">CC BY-SA 3.0	</v>
      <v xml:space="preserve">https://en.wikipedia.org/wiki/Wenatchee,_Washington	</v>
      <v xml:space="preserve">https://creativecommons.org/licenses/by-sa/3.0	</v>
    </spb>
    <spb s="1">
      <v>469</v>
      <v>469</v>
      <v>469</v>
      <v>469</v>
      <v>469</v>
      <v>469</v>
      <v>469</v>
      <v>469</v>
      <v>469</v>
      <v>469</v>
    </spb>
    <spb s="0">
      <v xml:space="preserve">Wikipedia	</v>
      <v xml:space="preserve">CC BY-SA 3.0	</v>
      <v xml:space="preserve">https://en.wikipedia.org/wiki/Yakima,_Washington	</v>
      <v xml:space="preserve">https://creativecommons.org/licenses/by-sa/3.0	</v>
    </spb>
    <spb s="1">
      <v>471</v>
      <v>471</v>
      <v>471</v>
      <v>471</v>
      <v>471</v>
      <v>471</v>
      <v>471</v>
      <v>471</v>
      <v>471</v>
      <v>471</v>
    </spb>
    <spb s="0">
      <v xml:space="preserve">Wikipedia	</v>
      <v xml:space="preserve">CC BY-SA 3.0	</v>
      <v xml:space="preserve">https://en.wikipedia.org/wiki/Athol,_Idaho	</v>
      <v xml:space="preserve">https://creativecommons.org/licenses/by-sa/3.0	</v>
    </spb>
    <spb s="1">
      <v>473</v>
      <v>473</v>
      <v>473</v>
      <v>473</v>
      <v>473</v>
      <v>473</v>
      <v>473</v>
      <v>473</v>
      <v>473</v>
      <v>473</v>
    </spb>
    <spb s="0">
      <v xml:space="preserve">Wikipedia	</v>
      <v xml:space="preserve">CC BY-SA 3.0	</v>
      <v xml:space="preserve">https://en.wikipedia.org/wiki/Boise,_Idaho	</v>
      <v xml:space="preserve">https://creativecommons.org/licenses/by-sa/3.0	</v>
    </spb>
    <spb s="1">
      <v>475</v>
      <v>475</v>
      <v>475</v>
      <v>475</v>
      <v>475</v>
      <v>475</v>
      <v>475</v>
      <v>475</v>
      <v>475</v>
      <v>475</v>
    </spb>
    <spb s="0">
      <v xml:space="preserve">Wikipedia	</v>
      <v xml:space="preserve">CC BY-SA 3.0	</v>
      <v xml:space="preserve">https://en.wikipedia.org/wiki/Bonners_Ferry,_Idaho	</v>
      <v xml:space="preserve">https://creativecommons.org/licenses/by-sa/3.0	</v>
    </spb>
    <spb s="1">
      <v>477</v>
      <v>477</v>
      <v>477</v>
      <v>477</v>
      <v>477</v>
      <v>477</v>
      <v>477</v>
      <v>477</v>
      <v>477</v>
      <v>477</v>
    </spb>
    <spb s="0">
      <v xml:space="preserve">Wikipedia	</v>
      <v xml:space="preserve">CC BY-SA 3.0	</v>
      <v xml:space="preserve">https://en.wikipedia.org/wiki/Coeur_d%27Alene,_Idaho	</v>
      <v xml:space="preserve">https://creativecommons.org/licenses/by-sa/3.0	</v>
    </spb>
    <spb s="1">
      <v>479</v>
      <v>479</v>
      <v>479</v>
      <v>479</v>
      <v>479</v>
      <v>479</v>
      <v>479</v>
      <v>479</v>
      <v>479</v>
      <v>479</v>
    </spb>
    <spb s="0">
      <v xml:space="preserve">Wikipedia	</v>
      <v xml:space="preserve">CC BY-SA 3.0	</v>
      <v xml:space="preserve">https://en.wikipedia.org/wiki/Grangeville,_Idaho	</v>
      <v xml:space="preserve">https://creativecommons.org/licenses/by-sa/3.0	</v>
    </spb>
    <spb s="1">
      <v>481</v>
      <v>481</v>
      <v>481</v>
      <v>481</v>
      <v>481</v>
      <v>481</v>
      <v>481</v>
      <v>481</v>
      <v>481</v>
      <v>481</v>
    </spb>
    <spb s="0">
      <v xml:space="preserve">Wikipedia	</v>
      <v xml:space="preserve">CC BY-SA 3.0	</v>
      <v xml:space="preserve">https://en.wikipedia.org/wiki/Kellogg,_Idaho	</v>
      <v xml:space="preserve">https://creativecommons.org/licenses/by-sa/3.0	</v>
    </spb>
    <spb s="1">
      <v>483</v>
      <v>483</v>
      <v>483</v>
      <v>483</v>
      <v>483</v>
      <v>483</v>
      <v>483</v>
      <v>483</v>
      <v>483</v>
      <v>483</v>
    </spb>
    <spb s="0">
      <v xml:space="preserve">Wikipedia	</v>
      <v xml:space="preserve">CC BY-SA 3.0	</v>
      <v xml:space="preserve">https://en.wikipedia.org/wiki/Lewiston,_Idaho	</v>
      <v xml:space="preserve">https://creativecommons.org/licenses/by-sa/3.0	</v>
    </spb>
    <spb s="1">
      <v>485</v>
      <v>485</v>
      <v>485</v>
      <v>485</v>
      <v>485</v>
      <v>485</v>
      <v>485</v>
      <v>485</v>
      <v>485</v>
      <v>485</v>
    </spb>
    <spb s="0">
      <v xml:space="preserve">Wikipedia	</v>
      <v xml:space="preserve">CC BY-SA 3.0	</v>
      <v xml:space="preserve">https://en.wikipedia.org/wiki/McCall,_Idaho	</v>
      <v xml:space="preserve">https://creativecommons.org/licenses/by-sa/3.0	</v>
    </spb>
    <spb s="1">
      <v>487</v>
      <v>487</v>
      <v>487</v>
      <v>487</v>
      <v>487</v>
      <v>487</v>
      <v>487</v>
      <v>487</v>
      <v>487</v>
      <v>487</v>
    </spb>
    <spb s="0">
      <v xml:space="preserve">Wikipedia	</v>
      <v xml:space="preserve">CC BY-SA 3.0	</v>
      <v xml:space="preserve">https://en.wikipedia.org/wiki/Meridian,_Idaho	</v>
      <v xml:space="preserve">https://creativecommons.org/licenses/by-sa/3.0	</v>
    </spb>
    <spb s="1">
      <v>489</v>
      <v>489</v>
      <v>489</v>
      <v>489</v>
      <v>489</v>
      <v>489</v>
      <v>489</v>
      <v>489</v>
      <v>489</v>
      <v>489</v>
    </spb>
    <spb s="0">
      <v xml:space="preserve">Wikipedia	</v>
      <v xml:space="preserve">CC BY-SA 3.0	</v>
      <v xml:space="preserve">https://en.wikipedia.org/wiki/Moscow,_Idaho	</v>
      <v xml:space="preserve">https://creativecommons.org/licenses/by-sa/3.0	</v>
    </spb>
    <spb s="1">
      <v>491</v>
      <v>491</v>
      <v>491</v>
      <v>491</v>
      <v>491</v>
      <v>491</v>
      <v>491</v>
      <v>491</v>
      <v>491</v>
      <v>491</v>
    </spb>
    <spb s="0">
      <v xml:space="preserve">Wikipedia	</v>
      <v xml:space="preserve">CC BY-SA 3.0	</v>
      <v xml:space="preserve">https://en.wikipedia.org/wiki/Nampa,_Idaho	</v>
      <v xml:space="preserve">https://creativecommons.org/licenses/by-sa/3.0	</v>
    </spb>
    <spb s="1">
      <v>493</v>
      <v>493</v>
      <v>493</v>
      <v>493</v>
      <v>493</v>
      <v>493</v>
      <v>493</v>
      <v>493</v>
      <v>493</v>
      <v>493</v>
    </spb>
    <spb s="0">
      <v xml:space="preserve">Wikipedia	</v>
      <v xml:space="preserve">CC BY-SA 3.0	</v>
      <v xml:space="preserve">https://en.wikipedia.org/wiki/Post_Falls,_Idaho	</v>
      <v xml:space="preserve">https://creativecommons.org/licenses/by-sa/3.0	</v>
    </spb>
    <spb s="1">
      <v>495</v>
      <v>495</v>
      <v>495</v>
      <v>495</v>
      <v>495</v>
      <v>495</v>
      <v>495</v>
      <v>495</v>
      <v>495</v>
      <v>495</v>
    </spb>
    <spb s="0">
      <v xml:space="preserve">Wikipedia	</v>
      <v xml:space="preserve">CC BY-SA 3.0	</v>
      <v xml:space="preserve">https://en.wikipedia.org/wiki/Priest_River,_Idaho	</v>
      <v xml:space="preserve">https://creativecommons.org/licenses/by-sa/3.0	</v>
    </spb>
    <spb s="1">
      <v>497</v>
      <v>497</v>
      <v>497</v>
      <v>497</v>
      <v>497</v>
      <v>497</v>
      <v>497</v>
      <v>497</v>
      <v>497</v>
      <v>497</v>
    </spb>
    <spb s="0">
      <v xml:space="preserve">Wikipedia	</v>
      <v xml:space="preserve">CC BY-SA 3.0	</v>
      <v xml:space="preserve">https://en.wikipedia.org/wiki/Sandpoint,_Idaho	</v>
      <v xml:space="preserve">https://creativecommons.org/licenses/by-sa/3.0	</v>
    </spb>
    <spb s="1">
      <v>499</v>
      <v>499</v>
      <v>499</v>
      <v>499</v>
      <v>499</v>
      <v>499</v>
      <v>499</v>
      <v>499</v>
      <v>499</v>
      <v>499</v>
    </spb>
    <spb s="0">
      <v xml:space="preserve">Wikipedia	</v>
      <v xml:space="preserve">CC BY-SA 3.0	</v>
      <v xml:space="preserve">https://en.wikipedia.org/wiki/Worley,_Idaho	</v>
      <v xml:space="preserve">https://creativecommons.org/licenses/by-sa/3.0	</v>
    </spb>
    <spb s="1">
      <v>501</v>
      <v>501</v>
      <v>501</v>
      <v>501</v>
      <v>501</v>
      <v>501</v>
      <v>501</v>
      <v>501</v>
      <v>501</v>
      <v>501</v>
    </spb>
    <spb s="0">
      <v xml:space="preserve">Wikipedia	</v>
      <v xml:space="preserve">CC BY-SA 3.0	</v>
      <v xml:space="preserve">https://en.wikipedia.org/wiki/Duncan,_British_Columbia	</v>
      <v xml:space="preserve">https://creativecommons.org/licenses/by-sa/3.0	</v>
    </spb>
    <spb s="12">
      <v>503</v>
      <v>503</v>
      <v>503</v>
      <v>503</v>
      <v>503</v>
      <v>503</v>
      <v>503</v>
      <v>503</v>
      <v>503</v>
    </spb>
    <spb s="7">
      <v>square km</v>
      <v>2016</v>
    </spb>
    <spb s="0">
      <v xml:space="preserve">Wikipedia	</v>
      <v xml:space="preserve">CC BY-SA 3.0	</v>
      <v xml:space="preserve">https://en.wikipedia.org/wiki/Sooke	</v>
      <v xml:space="preserve">https://creativecommons.org/licenses/by-sa/3.0	</v>
    </spb>
    <spb s="0">
      <v xml:space="preserve">Wikipedia	</v>
      <v xml:space="preserve">CC-BY-SA	</v>
      <v xml:space="preserve">http://en.wikipedia.org/wiki/Sooke	</v>
      <v xml:space="preserve">http://creativecommons.org/licenses/by-sa/3.0/	</v>
    </spb>
    <spb s="12">
      <v>506</v>
      <v>506</v>
      <v>506</v>
      <v>506</v>
      <v>507</v>
      <v>506</v>
      <v>506</v>
      <v>506</v>
      <v>506</v>
    </spb>
    <spb s="0">
      <v xml:space="preserve">Wikipedia	Wikipedia	Wikipedia	</v>
      <v xml:space="preserve">CC-BY-SA	CC-BY-SA	CC-BY-SA	</v>
      <v xml:space="preserve">http://en.wikipedia.org/wiki/Victoria,_British_Columbia	http://de.wikipedia.org/wiki/Victoria_(British_Columbia)	http://fr.wikipedia.org/wiki/Victoria_(Colombie-Britannique)	</v>
      <v xml:space="preserve">http://creativecommons.org/licenses/by-sa/3.0/	http://creativecommons.org/licenses/by-sa/3.0/	http://creativecommons.org/licenses/by-sa/3.0/	</v>
    </spb>
    <spb s="0">
      <v xml:space="preserve">Wikipedia	</v>
      <v xml:space="preserve">CC BY-SA 3.0	</v>
      <v xml:space="preserve">https://en.wikipedia.org/wiki/Victoria,_British_Columbia	</v>
      <v xml:space="preserve">https://creativecommons.org/licenses/by-sa/3.0	</v>
    </spb>
    <spb s="1">
      <v>509</v>
      <v>510</v>
      <v>510</v>
      <v>510</v>
      <v>510</v>
      <v>510</v>
      <v>510</v>
      <v>510</v>
      <v>510</v>
      <v>510</v>
    </spb>
    <spb s="7">
      <v>square km</v>
      <v>2021</v>
    </spb>
    <spb s="0">
      <v xml:space="preserve">Wikipedia	</v>
      <v xml:space="preserve">CC BY-SA 3.0	</v>
      <v xml:space="preserve">https://en.wikipedia.org/wiki/Ensenada,_Baja_California	</v>
      <v xml:space="preserve">https://creativecommons.org/licenses/by-sa/3.0	</v>
    </spb>
    <spb s="1">
      <v>513</v>
      <v>513</v>
      <v>513</v>
      <v>513</v>
      <v>513</v>
      <v>513</v>
      <v>513</v>
      <v>513</v>
      <v>513</v>
      <v>513</v>
    </spb>
    <spb s="0">
      <v xml:space="preserve">Wikipedia	</v>
      <v xml:space="preserve">CC BY-SA 3.0	</v>
      <v xml:space="preserve">https://en.wikipedia.org/wiki/L%C3%A1zaro_C%C3%A1rdenas,_Baja_California	</v>
      <v xml:space="preserve">https://creativecommons.org/licenses/by-sa/3.0	</v>
    </spb>
    <spb s="0">
      <v xml:space="preserve">Wikipedia	</v>
      <v xml:space="preserve">CC-BY-SA	</v>
      <v xml:space="preserve">http://en.wikipedia.org/wiki/Lázaro_Cárdenas,_Baja_California	</v>
      <v xml:space="preserve">http://creativecommons.org/licenses/by-sa/3.0/	</v>
    </spb>
    <spb s="16">
      <v>515</v>
      <v>515</v>
      <v>515</v>
      <v>516</v>
      <v>515</v>
      <v>515</v>
      <v>515</v>
      <v>515</v>
    </spb>
    <spb s="17">
      <v>10</v>
      <v>Name</v>
    </spb>
    <spb s="18">
      <v>3</v>
    </spb>
    <spb s="15">
      <v>2010</v>
    </spb>
    <spb s="0">
      <v xml:space="preserve">Wikipedia	</v>
      <v xml:space="preserve">CC BY-SA 3.0	</v>
      <v xml:space="preserve">https://en.wikipedia.org/wiki/Mexicali	</v>
      <v xml:space="preserve">https://creativecommons.org/licenses/by-sa/3.0	</v>
    </spb>
    <spb s="1">
      <v>521</v>
      <v>521</v>
      <v>521</v>
      <v>521</v>
      <v>521</v>
      <v>521</v>
      <v>521</v>
      <v>521</v>
      <v>521</v>
      <v>521</v>
    </spb>
    <spb s="7">
      <v>square km</v>
      <v>2019</v>
    </spb>
    <spb s="0">
      <v xml:space="preserve">Wikipedia	</v>
      <v xml:space="preserve">CC BY-SA 3.0	</v>
      <v xml:space="preserve">https://en.wikipedia.org/wiki/Rosarito	</v>
      <v xml:space="preserve">https://creativecommons.org/licenses/by-sa/3.0	</v>
    </spb>
    <spb s="14">
      <v>524</v>
      <v>524</v>
      <v>524</v>
      <v>524</v>
      <v>524</v>
      <v>524</v>
      <v>524</v>
      <v>524</v>
      <v>524</v>
    </spb>
    <spb s="15">
      <v>2020</v>
    </spb>
    <spb s="0">
      <v xml:space="preserve">Wikipedia	</v>
      <v xml:space="preserve">CC BY-SA 3.0	</v>
      <v xml:space="preserve">https://en.wikipedia.org/wiki/San_Felipe,_Baja_California	</v>
      <v xml:space="preserve">https://creativecommons.org/licenses/by-sa/3.0	</v>
    </spb>
    <spb s="0">
      <v xml:space="preserve">Wikipedia	</v>
      <v xml:space="preserve">CC-BY-SA	</v>
      <v xml:space="preserve">http://en.wikipedia.org/wiki/San_Felipe,_Baja_California	</v>
      <v xml:space="preserve">http://creativecommons.org/licenses/by-sa/3.0/	</v>
    </spb>
    <spb s="14">
      <v>527</v>
      <v>527</v>
      <v>527</v>
      <v>528</v>
      <v>527</v>
      <v>527</v>
      <v>527</v>
      <v>527</v>
      <v>527</v>
    </spb>
    <spb s="2">
      <v>11</v>
      <v>Name</v>
      <v>LearnMoreOnLink</v>
    </spb>
    <spb s="0">
      <v xml:space="preserve">Wikipedia	</v>
      <v xml:space="preserve">CC BY-SA 3.0	</v>
      <v xml:space="preserve">https://en.wikipedia.org/wiki/Tecate	</v>
      <v xml:space="preserve">https://creativecommons.org/licenses/by-sa/3.0	</v>
    </spb>
    <spb s="14">
      <v>531</v>
      <v>531</v>
      <v>531</v>
      <v>531</v>
      <v>531</v>
      <v>531</v>
      <v>531</v>
      <v>531</v>
      <v>531</v>
    </spb>
    <spb s="0">
      <v xml:space="preserve">Wikipedia	</v>
      <v xml:space="preserve">CC BY-SA 3.0	</v>
      <v xml:space="preserve">https://en.wikipedia.org/wiki/Tijuana	</v>
      <v xml:space="preserve">https://creativecommons.org/licenses/by-sa/3.0	</v>
    </spb>
    <spb s="1">
      <v>533</v>
      <v>533</v>
      <v>533</v>
      <v>533</v>
      <v>533</v>
      <v>533</v>
      <v>533</v>
      <v>533</v>
      <v>533</v>
      <v>533</v>
    </spb>
  </spbData>
</supportingPropertyBags>
</file>

<file path=xl/richData/rdsupportingpropertybagstructure.xml><?xml version="1.0" encoding="utf-8"?>
<spbStructures xmlns="http://schemas.microsoft.com/office/spreadsheetml/2017/richdata2" count="19">
  <s>
    <k n="SourceText" t="s"/>
    <k n="LicenseText" t="s"/>
    <k n="SourceAddress" t="s"/>
    <k n="LicenseAddress" t="s"/>
  </s>
  <s>
    <k n="Area" t="spb"/>
    <k n="Name" t="spb"/>
    <k n="Latitude" t="spb"/>
    <k n="Longitude" t="spb"/>
    <k n="Population" t="spb"/>
    <k n="UniqueName" t="spb"/>
    <k n="Description" t="spb"/>
    <k n="Country/region" t="spb"/>
    <k n="Admin Division 1 (State/province/other)" t="spb"/>
    <k n="Admin Division 2 (County/district/other)"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Population" t="spb"/>
    <k n="UniqueName" t="spb"/>
    <k n="Description" t="spb"/>
    <k n="Largest city" t="spb"/>
    <k n="Country/region" t="spb"/>
    <k n="Admin Division 1 (State/province/other)" t="spb"/>
  </s>
  <s>
    <k n="UniqueName" t="spb"/>
    <k n="VDPID/VSID" t="spb"/>
    <k n="Time zone(s)" t="spb"/>
    <k n="LearnMoreOnLink" t="spb"/>
  </s>
  <s>
    <k n="Area" t="spb"/>
    <k n="Name" t="spb"/>
    <k n="Population" t="spb"/>
    <k n="UniqueName" t="spb"/>
    <k n="Description" t="spb"/>
    <k n="Country/region" t="spb"/>
    <k n="Admin Division 1 (State/province/other)" t="spb"/>
  </s>
  <s>
    <k n="Area" t="spb"/>
    <k n="Name" t="spb"/>
    <k n="Latitude" t="spb"/>
    <k n="Longitude" t="spb"/>
    <k n="Population" t="spb"/>
    <k n="UniqueName" t="spb"/>
    <k n="Description" t="spb"/>
    <k n="Country/region" t="spb"/>
    <k n="Admin Division 1 (State/province/other)" t="spb"/>
  </s>
  <s>
    <k n="Name" t="i"/>
  </s>
  <s>
    <k n="Name" t="spb"/>
    <k n="Latitude" t="spb"/>
    <k n="Longitude" t="spb"/>
    <k n="Population" t="spb"/>
    <k n="UniqueName" t="spb"/>
    <k n="Description" t="spb"/>
    <k n="Country/region" t="spb"/>
    <k n="Admin Division 1 (State/province/other)" t="spb"/>
    <k n="Admin Division 2 (County/district/other)" t="spb"/>
  </s>
  <s>
    <k n="Population" t="s"/>
  </s>
  <s>
    <k n="Name" t="spb"/>
    <k n="Latitude" t="spb"/>
    <k n="Longitude" t="spb"/>
    <k n="Population" t="spb"/>
    <k n="UniqueName" t="spb"/>
    <k n="Description" t="spb"/>
    <k n="Country/region" t="spb"/>
    <k n="Admin Division 1 (State/province/other)" t="spb"/>
  </s>
  <s>
    <k n="^Order" t="spba"/>
    <k n="TitleProperty" t="s"/>
  </s>
  <s>
    <k n="UniqueName"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IsHeroField" t="b"/>
    <rPr n="NumberFormat" t="s"/>
  </richProperties>
  <richStyles>
    <rSty>
      <rpv i="0">1</rpv>
    </rSty>
    <rSty>
      <rpv i="1">1</rpv>
    </rSty>
    <rSty dxfid="0">
      <rpv i="2">#,##0</rpv>
    </rSty>
    <rSty dxfid="1">
      <rpv i="2">0.0000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48"/>
  <sheetViews>
    <sheetView tabSelected="1" topLeftCell="A18" workbookViewId="0">
      <selection activeCell="H30" sqref="H30"/>
    </sheetView>
  </sheetViews>
  <sheetFormatPr defaultRowHeight="15" x14ac:dyDescent="0.25"/>
  <cols>
    <col min="1" max="1" width="5" bestFit="1" customWidth="1"/>
    <col min="2" max="2" width="18.42578125" bestFit="1" customWidth="1"/>
    <col min="3" max="3" width="10" customWidth="1"/>
    <col min="9" max="9" width="8.5703125" bestFit="1" customWidth="1"/>
    <col min="10" max="10" width="10.28515625" bestFit="1"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s="2">
        <v>27</v>
      </c>
      <c r="B2" s="3" t="s">
        <v>13</v>
      </c>
      <c r="C2" s="3" t="s">
        <v>14</v>
      </c>
      <c r="D2" t="e" vm="1">
        <v>#VALUE!</v>
      </c>
      <c r="E2" s="2" cm="1" vm="2">
        <f t="array" aca="1" ref="E2" ca="1">_FV(D2,"Population")</f>
        <v>2715</v>
      </c>
      <c r="F2" s="4" cm="1">
        <f t="array" aca="1" ref="F2" ca="1">_xlfn.IFS(E2&lt;2500,E2/10,AND(E2&gt;=2500,E2&lt;25000),E2/25,AND(E2&gt;=25000,E2&lt;100000),E2/50,AND(E2&gt;=100000,E2&lt;1000000),E2/100,AND(E2&gt;=1000000,E2&lt;2000000),E2/150,AND(E2&gt;=2000000,E2&lt;3000000),E2/200,E2&gt;=3000000,E2/250)</f>
        <v>108.6</v>
      </c>
      <c r="G2" s="2" t="str" cm="1">
        <f t="array" aca="1" ref="G2" ca="1">IFERROR(_xlfn.IFS(AND(E2&lt;80000,E2&gt;15000),"MEDIUM",E2&gt;80000,"LARGE",E2&lt;15000,"SMALL"),"SMALL")</f>
        <v>SMALL</v>
      </c>
      <c r="H2" s="2" t="str">
        <f t="shared" ref="H2:H64" ca="1" si="0">IFERROR(IF(E2&gt;200000,"true","false"),"false")</f>
        <v>false</v>
      </c>
      <c r="I2" s="10" cm="1" vm="3">
        <f t="array" aca="1" ref="I2" ca="1">_FV(D2,"Latitude")</f>
        <v>41.487222222222002</v>
      </c>
      <c r="J2" s="10" cm="1" vm="4">
        <f t="array" aca="1" ref="J2" ca="1">_FV(D2,"Longitude")</f>
        <v>-120.5425</v>
      </c>
      <c r="K2">
        <v>1539</v>
      </c>
      <c r="L2">
        <v>876</v>
      </c>
      <c r="M2" s="2" t="s">
        <v>15</v>
      </c>
    </row>
    <row r="3" spans="1:13" x14ac:dyDescent="0.25">
      <c r="A3" s="2">
        <v>32</v>
      </c>
      <c r="B3" s="3" t="s">
        <v>16</v>
      </c>
      <c r="C3" s="3" t="s">
        <v>14</v>
      </c>
      <c r="D3" t="e" vm="5">
        <v>#VALUE!</v>
      </c>
      <c r="E3" s="2" cm="1" vm="6">
        <f t="array" aca="1" ref="E3" ca="1">_FV(D3,"Population")</f>
        <v>346824</v>
      </c>
      <c r="F3" s="4" cm="1">
        <f t="array" aca="1" ref="F3" ca="1">_xlfn.IFS(E3&lt;2500,E3/10,AND(E3&gt;=2500,E3&lt;25000),E3/25,AND(E3&gt;=25000,E3&lt;100000),E3/50,AND(E3&gt;=100000,E3&lt;1000000),E3/100,AND(E3&gt;=1000000,E3&lt;2000000),E3/150,AND(E3&gt;=2000000,E3&lt;3000000),E3/200,E3&gt;=3000000,E3/250)</f>
        <v>3468.24</v>
      </c>
      <c r="G3" s="2" t="str" cm="1">
        <f t="array" aca="1" ref="G3" ca="1">IFERROR(_xlfn.IFS(AND(E3&lt;80000,E3&gt;15000),"MEDIUM",E3&gt;80000,"LARGE",E3&lt;15000,"SMALL"),"SMALL")</f>
        <v>LARGE</v>
      </c>
      <c r="H3" s="2" t="str">
        <f t="shared" ca="1" si="0"/>
        <v>true</v>
      </c>
      <c r="I3" s="10" cm="1" vm="7">
        <f t="array" aca="1" ref="I3" ca="1">_FV(D3,"Latitude")</f>
        <v>33.836111111111002</v>
      </c>
      <c r="J3" s="10" cm="1" vm="8">
        <f t="array" aca="1" ref="J3" ca="1">_FV(D3,"Longitude")</f>
        <v>-117.88972222222</v>
      </c>
      <c r="K3">
        <v>3106</v>
      </c>
      <c r="L3">
        <v>1419</v>
      </c>
      <c r="M3" s="2" t="s">
        <v>15</v>
      </c>
    </row>
    <row r="4" spans="1:13" x14ac:dyDescent="0.25">
      <c r="A4" s="2">
        <v>40</v>
      </c>
      <c r="B4" s="3" t="s">
        <v>17</v>
      </c>
      <c r="C4" s="3" t="s">
        <v>14</v>
      </c>
      <c r="D4" t="e" vm="9">
        <v>#VALUE!</v>
      </c>
      <c r="E4" s="2" cm="1" vm="10">
        <f t="array" aca="1" ref="E4" ca="1">_FV(D4,"Population")</f>
        <v>115291</v>
      </c>
      <c r="F4" s="4" cm="1">
        <f t="array" aca="1" ref="F4" ca="1">_xlfn.IFS(E4&lt;2500,E4/10,AND(E4&gt;=2500,E4&lt;25000),E4/25,AND(E4&gt;=25000,E4&lt;100000),E4/50,AND(E4&gt;=100000,E4&lt;1000000),E4/100,AND(E4&gt;=1000000,E4&lt;2000000),E4/150,AND(E4&gt;=2000000,E4&lt;3000000),E4/200,E4&gt;=3000000,E4/250)</f>
        <v>1152.9100000000001</v>
      </c>
      <c r="G4" s="2" t="str" cm="1">
        <f t="array" aca="1" ref="G4" ca="1">IFERROR(_xlfn.IFS(AND(E4&lt;80000,E4&gt;15000),"MEDIUM",E4&gt;80000,"LARGE",E4&lt;15000,"SMALL"),"SMALL")</f>
        <v>LARGE</v>
      </c>
      <c r="H4" s="2" t="str">
        <f t="shared" ca="1" si="0"/>
        <v>false</v>
      </c>
      <c r="I4" s="10" cm="1" vm="11">
        <f t="array" aca="1" ref="I4" ca="1">_FV(D4,"Latitude")</f>
        <v>38.005000000000003</v>
      </c>
      <c r="J4" s="10" cm="1" vm="12">
        <f t="array" aca="1" ref="J4" ca="1">_FV(D4,"Longitude")</f>
        <v>-121.80583333333</v>
      </c>
      <c r="K4">
        <v>2252</v>
      </c>
      <c r="L4">
        <v>617</v>
      </c>
      <c r="M4" s="2" t="s">
        <v>15</v>
      </c>
    </row>
    <row r="5" spans="1:13" x14ac:dyDescent="0.25">
      <c r="A5" s="2">
        <v>45</v>
      </c>
      <c r="B5" s="3" t="s">
        <v>18</v>
      </c>
      <c r="C5" s="3" t="s">
        <v>14</v>
      </c>
      <c r="D5" t="e" vm="13">
        <v>#VALUE!</v>
      </c>
      <c r="E5" s="2" cm="1" vm="14">
        <f t="array" aca="1" ref="E5" ca="1">_FV(D5,"Population")</f>
        <v>3484</v>
      </c>
      <c r="F5" s="4" cm="1">
        <f t="array" aca="1" ref="F5" ca="1">_xlfn.IFS(E5&lt;2500,E5/10,AND(E5&gt;=2500,E5&lt;25000),E5/25,AND(E5&gt;=25000,E5&lt;100000),E5/50,AND(E5&gt;=100000,E5&lt;1000000),E5/100,AND(E5&gt;=1000000,E5&lt;2000000),E5/150,AND(E5&gt;=2000000,E5&lt;3000000),E5/200,E5&gt;=3000000,E5/250)</f>
        <v>139.36000000000001</v>
      </c>
      <c r="G5" s="2" t="str" cm="1">
        <f t="array" aca="1" ref="G5" ca="1">IFERROR(_xlfn.IFS(AND(E5&lt;80000,E5&gt;15000),"MEDIUM",E5&gt;80000,"LARGE",E5&lt;15000,"SMALL"),"SMALL")</f>
        <v>SMALL</v>
      </c>
      <c r="H5" s="2" t="str">
        <f t="shared" ca="1" si="0"/>
        <v>false</v>
      </c>
      <c r="I5" s="10" cm="1" vm="15">
        <f t="array" aca="1" ref="I5" ca="1">_FV(D5,"Latitude")</f>
        <v>39.017499999999998</v>
      </c>
      <c r="J5" s="10" cm="1" vm="16">
        <f t="array" aca="1" ref="J5" ca="1">_FV(D5,"Longitude")</f>
        <v>-122.05777777778</v>
      </c>
      <c r="K5">
        <v>2045</v>
      </c>
      <c r="L5">
        <v>565</v>
      </c>
      <c r="M5" s="2" t="s">
        <v>15</v>
      </c>
    </row>
    <row r="6" spans="1:13" x14ac:dyDescent="0.25">
      <c r="A6" s="2">
        <v>60</v>
      </c>
      <c r="B6" s="3" t="s">
        <v>19</v>
      </c>
      <c r="C6" s="3" t="s">
        <v>14</v>
      </c>
      <c r="D6" t="e" vm="17">
        <v>#VALUE!</v>
      </c>
      <c r="E6" s="2" cm="1" vm="18">
        <f t="array" aca="1" ref="E6" ca="1">_FV(D6,"Population")</f>
        <v>31970</v>
      </c>
      <c r="F6" s="4" cm="1">
        <f t="array" aca="1" ref="F6" ca="1">_xlfn.IFS(E6&lt;2500,E6/10,AND(E6&gt;=2500,E6&lt;25000),E6/25,AND(E6&gt;=25000,E6&lt;100000),E6/50,AND(E6&gt;=100000,E6&lt;1000000),E6/100,AND(E6&gt;=1000000,E6&lt;2000000),E6/150,AND(E6&gt;=2000000,E6&lt;3000000),E6/200,E6&gt;=3000000,E6/250)</f>
        <v>639.4</v>
      </c>
      <c r="G6" s="2" t="str" cm="1">
        <f t="array" aca="1" ref="G6" ca="1">IFERROR(_xlfn.IFS(AND(E6&lt;80000,E6&gt;15000),"MEDIUM",E6&gt;80000,"LARGE",E6&lt;15000,"SMALL"),"SMALL")</f>
        <v>MEDIUM</v>
      </c>
      <c r="H6" s="2" t="str">
        <f t="shared" ca="1" si="0"/>
        <v>false</v>
      </c>
      <c r="I6" s="10" cm="1" vm="19">
        <f t="array" aca="1" ref="I6" ca="1">_FV(D6,"Latitude")</f>
        <v>37.347777777777999</v>
      </c>
      <c r="J6" s="10" cm="1" vm="20">
        <f t="array" aca="1" ref="J6" ca="1">_FV(D6,"Longitude")</f>
        <v>-120.60916666667001</v>
      </c>
      <c r="K6">
        <v>2387</v>
      </c>
      <c r="L6">
        <v>862</v>
      </c>
      <c r="M6" s="2" t="s">
        <v>15</v>
      </c>
    </row>
    <row r="7" spans="1:13" x14ac:dyDescent="0.25">
      <c r="A7" s="2">
        <v>65</v>
      </c>
      <c r="B7" s="5" t="s">
        <v>20</v>
      </c>
      <c r="C7" s="3" t="s">
        <v>14</v>
      </c>
      <c r="D7" s="6" t="e" vm="21">
        <v>#VALUE!</v>
      </c>
      <c r="E7" s="2" cm="1" vm="22">
        <f t="array" aca="1" ref="E7" ca="1">_FV(D7,"Population")</f>
        <v>3460</v>
      </c>
      <c r="F7" s="4" cm="1">
        <f t="array" aca="1" ref="F7" ca="1">_xlfn.IFS(E7&lt;2500,E7/10,AND(E7&gt;=2500,E7&lt;25000),E7/25,AND(E7&gt;=25000,E7&lt;100000),E7/50,AND(E7&gt;=100000,E7&lt;1000000),E7/100,AND(E7&gt;=1000000,E7&lt;2000000),E7/150,AND(E7&gt;=2000000,E7&lt;3000000),E7/200,E7&gt;=3000000,E7/250)</f>
        <v>138.4</v>
      </c>
      <c r="G7" s="2" t="str" cm="1">
        <f t="array" aca="1" ref="G7" ca="1">IFERROR(_xlfn.IFS(AND(E7&lt;80000,E7&gt;15000),"MEDIUM",E7&gt;80000,"LARGE",E7&lt;15000,"SMALL"),"SMALL")</f>
        <v>SMALL</v>
      </c>
      <c r="H7" s="2" t="str">
        <f t="shared" ca="1" si="0"/>
        <v>false</v>
      </c>
      <c r="I7" s="10" cm="1" vm="23">
        <f t="array" aca="1" ref="I7" ca="1">_FV(D7,"Latitude")</f>
        <v>33.340833333333002</v>
      </c>
      <c r="J7" s="10" cm="1" vm="24">
        <f t="array" aca="1" ref="J7" ca="1">_FV(D7,"Longitude")</f>
        <v>-118.32777777778</v>
      </c>
      <c r="K7" s="7">
        <v>3206</v>
      </c>
      <c r="L7" s="7">
        <v>1327</v>
      </c>
      <c r="M7" s="2" t="s">
        <v>15</v>
      </c>
    </row>
    <row r="8" spans="1:13" x14ac:dyDescent="0.25">
      <c r="A8" s="2">
        <v>72</v>
      </c>
      <c r="B8" s="3" t="s">
        <v>21</v>
      </c>
      <c r="C8" s="3" t="s">
        <v>14</v>
      </c>
      <c r="D8" t="e" vm="25">
        <v>#VALUE!</v>
      </c>
      <c r="E8" s="2" cm="1" vm="26">
        <f t="array" aca="1" ref="E8" ca="1">_FV(D8,"Population")</f>
        <v>403455</v>
      </c>
      <c r="F8" s="4" cm="1">
        <f t="array" aca="1" ref="F8" ca="1">_xlfn.IFS(E8&lt;2500,E8/10,AND(E8&gt;=2500,E8&lt;25000),E8/25,AND(E8&gt;=25000,E8&lt;100000),E8/50,AND(E8&gt;=100000,E8&lt;1000000),E8/100,AND(E8&gt;=1000000,E8&lt;2000000),E8/150,AND(E8&gt;=2000000,E8&lt;3000000),E8/200,E8&gt;=3000000,E8/250)</f>
        <v>4034.55</v>
      </c>
      <c r="G8" s="2" t="str" cm="1">
        <f t="array" aca="1" ref="G8" ca="1">IFERROR(_xlfn.IFS(AND(E8&lt;80000,E8&gt;15000),"MEDIUM",E8&gt;80000,"LARGE",E8&lt;15000,"SMALL"),"SMALL")</f>
        <v>LARGE</v>
      </c>
      <c r="H8" s="2" t="str">
        <f t="shared" ca="1" si="0"/>
        <v>true</v>
      </c>
      <c r="I8" s="10" cm="1" vm="27">
        <f t="array" aca="1" ref="I8" ca="1">_FV(D8,"Latitude")</f>
        <v>35.405833333333</v>
      </c>
      <c r="J8" s="10" cm="1" vm="28">
        <f t="array" aca="1" ref="J8" ca="1">_FV(D8,"Longitude")</f>
        <v>-119.01861111111</v>
      </c>
      <c r="K8">
        <v>2785</v>
      </c>
      <c r="L8">
        <v>1188</v>
      </c>
      <c r="M8" s="2" t="s">
        <v>15</v>
      </c>
    </row>
    <row r="9" spans="1:13" x14ac:dyDescent="0.25">
      <c r="A9" s="2">
        <v>80</v>
      </c>
      <c r="B9" t="s">
        <v>22</v>
      </c>
      <c r="C9" t="s">
        <v>14</v>
      </c>
      <c r="D9" t="e" vm="29">
        <v>#VALUE!</v>
      </c>
      <c r="E9" s="2" cm="1" vm="30">
        <f t="array" aca="1" ref="E9" ca="1">_FV(D9,"Population")</f>
        <v>25415</v>
      </c>
      <c r="F9" s="4" cm="1">
        <f t="array" aca="1" ref="F9" ca="1">_xlfn.IFS(E9&lt;2500,E9/10,AND(E9&gt;=2500,E9&lt;25000),E9/25,AND(E9&gt;=25000,E9&lt;100000),E9/50,AND(E9&gt;=100000,E9&lt;1000000),E9/100,AND(E9&gt;=1000000,E9&lt;2000000),E9/150,AND(E9&gt;=2000000,E9&lt;3000000),E9/200,E9&gt;=3000000,E9/250)</f>
        <v>508.3</v>
      </c>
      <c r="G9" s="2" t="str" cm="1">
        <f t="array" aca="1" ref="G9" ca="1">IFERROR(_xlfn.IFS(AND(E9&lt;80000,E9&gt;15000),"MEDIUM",E9&gt;80000,"LARGE",E9&lt;15000,"SMALL"),"SMALL")</f>
        <v>MEDIUM</v>
      </c>
      <c r="H9" s="2" t="str">
        <f t="shared" ca="1" si="0"/>
        <v>false</v>
      </c>
      <c r="I9" s="10" cm="1" vm="31">
        <f t="array" aca="1" ref="I9" ca="1">_FV(D9,"Latitude")</f>
        <v>34.893333333332997</v>
      </c>
      <c r="J9" s="10" cm="1" vm="32">
        <f t="array" aca="1" ref="J9" ca="1">_FV(D9,"Longitude")</f>
        <v>-117.01888888889</v>
      </c>
      <c r="K9">
        <v>2890</v>
      </c>
      <c r="L9">
        <v>1597</v>
      </c>
      <c r="M9" s="2" t="s">
        <v>15</v>
      </c>
    </row>
    <row r="10" spans="1:13" x14ac:dyDescent="0.25">
      <c r="A10" s="2">
        <v>87</v>
      </c>
      <c r="B10" s="3" t="s">
        <v>23</v>
      </c>
      <c r="C10" s="3" t="s">
        <v>14</v>
      </c>
      <c r="D10" t="e" vm="33">
        <v>#VALUE!</v>
      </c>
      <c r="E10" s="2" cm="1" vm="34">
        <f t="array" aca="1" ref="E10" ca="1">_FV(D10,"Population")</f>
        <v>53036</v>
      </c>
      <c r="F10" s="4" cm="1">
        <f t="array" aca="1" ref="F10" ca="1">_xlfn.IFS(E10&lt;2500,E10/10,AND(E10&gt;=2500,E10&lt;25000),E10/25,AND(E10&gt;=25000,E10&lt;100000),E10/50,AND(E10&gt;=100000,E10&lt;1000000),E10/100,AND(E10&gt;=1000000,E10&lt;2000000),E10/150,AND(E10&gt;=2000000,E10&lt;3000000),E10/200,E10&gt;=3000000,E10/250)</f>
        <v>1060.72</v>
      </c>
      <c r="G10" s="2" t="str" cm="1">
        <f t="array" aca="1" ref="G10" ca="1">IFERROR(_xlfn.IFS(AND(E10&lt;80000,E10&gt;15000),"MEDIUM",E10&gt;80000,"LARGE",E10&lt;15000,"SMALL"),"SMALL")</f>
        <v>MEDIUM</v>
      </c>
      <c r="H10" s="2" t="str">
        <f t="shared" ca="1" si="0"/>
        <v>false</v>
      </c>
      <c r="I10" s="10" cm="1" vm="35">
        <f t="array" aca="1" ref="I10" ca="1">_FV(D10,"Latitude")</f>
        <v>33.924166666666999</v>
      </c>
      <c r="J10" s="10" cm="1" vm="36">
        <f t="array" aca="1" ref="J10" ca="1">_FV(D10,"Longitude")</f>
        <v>-116.97361111111</v>
      </c>
      <c r="K10">
        <v>3088</v>
      </c>
      <c r="L10">
        <v>1607</v>
      </c>
      <c r="M10" s="2" t="s">
        <v>15</v>
      </c>
    </row>
    <row r="11" spans="1:13" x14ac:dyDescent="0.25">
      <c r="A11" s="2">
        <v>102</v>
      </c>
      <c r="B11" s="3" t="s">
        <v>24</v>
      </c>
      <c r="C11" s="3" t="s">
        <v>14</v>
      </c>
      <c r="D11" t="e" vm="37">
        <v>#VALUE!</v>
      </c>
      <c r="E11" s="2" cm="1" vm="38">
        <f t="array" aca="1" ref="E11" ca="1">_FV(D11,"Population")</f>
        <v>124321</v>
      </c>
      <c r="F11" s="4" cm="1">
        <f t="array" aca="1" ref="F11" ca="1">_xlfn.IFS(E11&lt;2500,E11/10,AND(E11&gt;=2500,E11&lt;25000),E11/25,AND(E11&gt;=25000,E11&lt;100000),E11/50,AND(E11&gt;=100000,E11&lt;1000000),E11/100,AND(E11&gt;=1000000,E11&lt;2000000),E11/150,AND(E11&gt;=2000000,E11&lt;3000000),E11/200,E11&gt;=3000000,E11/250)</f>
        <v>1243.21</v>
      </c>
      <c r="G11" s="2" t="str" cm="1">
        <f t="array" aca="1" ref="G11" ca="1">IFERROR(_xlfn.IFS(AND(E11&lt;80000,E11&gt;15000),"MEDIUM",E11&gt;80000,"LARGE",E11&lt;15000,"SMALL"),"SMALL")</f>
        <v>LARGE</v>
      </c>
      <c r="H11" s="2" t="str">
        <f t="shared" ca="1" si="0"/>
        <v>false</v>
      </c>
      <c r="I11" s="10" cm="1" vm="39">
        <f t="array" aca="1" ref="I11" ca="1">_FV(D11,"Latitude")</f>
        <v>37.870277777778</v>
      </c>
      <c r="J11" s="10" cm="1" vm="40">
        <f t="array" aca="1" ref="J11" ca="1">_FV(D11,"Longitude")</f>
        <v>-122.26805555556</v>
      </c>
      <c r="K11">
        <v>2280</v>
      </c>
      <c r="L11">
        <v>522</v>
      </c>
      <c r="M11" s="2" t="s">
        <v>15</v>
      </c>
    </row>
    <row r="12" spans="1:13" x14ac:dyDescent="0.25">
      <c r="A12" s="2">
        <v>112</v>
      </c>
      <c r="B12" s="3" t="s">
        <v>25</v>
      </c>
      <c r="C12" s="3" t="s">
        <v>14</v>
      </c>
      <c r="D12" t="e" vm="41">
        <v>#VALUE!</v>
      </c>
      <c r="E12" s="2" cm="1" vm="42">
        <f t="array" aca="1" ref="E12" ca="1">_FV(D12,"Population")</f>
        <v>1875</v>
      </c>
      <c r="F12" s="4" cm="1">
        <f t="array" aca="1" ref="F12" ca="1">_xlfn.IFS(E12&lt;2500,E12/10,AND(E12&gt;=2500,E12&lt;25000),E12/25,AND(E12&gt;=25000,E12&lt;100000),E12/50,AND(E12&gt;=100000,E12&lt;1000000),E12/100,AND(E12&gt;=1000000,E12&lt;2000000),E12/150,AND(E12&gt;=2000000,E12&lt;3000000),E12/200,E12&gt;=3000000,E12/250)</f>
        <v>187.5</v>
      </c>
      <c r="G12" s="2" t="str" cm="1">
        <f t="array" aca="1" ref="G12" ca="1">IFERROR(_xlfn.IFS(AND(E12&lt;80000,E12&gt;15000),"MEDIUM",E12&gt;80000,"LARGE",E12&lt;15000,"SMALL"),"SMALL")</f>
        <v>SMALL</v>
      </c>
      <c r="H12" s="2" t="str">
        <f t="shared" ca="1" si="0"/>
        <v>false</v>
      </c>
      <c r="I12" s="10" cm="1" vm="43">
        <f t="array" aca="1" ref="I12" ca="1">_FV(D12,"Latitude")</f>
        <v>37.164999999999999</v>
      </c>
      <c r="J12" s="10" cm="1" vm="44">
        <f t="array" aca="1" ref="J12" ca="1">_FV(D12,"Longitude")</f>
        <v>-118.28944444443999</v>
      </c>
      <c r="K12">
        <v>2424</v>
      </c>
      <c r="L12">
        <v>1337</v>
      </c>
      <c r="M12" s="2" t="s">
        <v>15</v>
      </c>
    </row>
    <row r="13" spans="1:13" x14ac:dyDescent="0.25">
      <c r="A13" s="2">
        <v>116</v>
      </c>
      <c r="B13" s="3" t="s">
        <v>26</v>
      </c>
      <c r="C13" s="3" t="s">
        <v>14</v>
      </c>
      <c r="D13" t="e" vm="45">
        <v>#VALUE!</v>
      </c>
      <c r="E13" s="2" cm="1" vm="46">
        <f t="array" aca="1" ref="E13" ca="1">_FV(D13,"Population")</f>
        <v>3819</v>
      </c>
      <c r="F13" s="4" cm="1">
        <f t="array" aca="1" ref="F13" ca="1">_xlfn.IFS(E13&lt;2500,E13/10,AND(E13&gt;=2500,E13&lt;25000),E13/25,AND(E13&gt;=25000,E13&lt;100000),E13/50,AND(E13&gt;=100000,E13&lt;1000000),E13/100,AND(E13&gt;=1000000,E13&lt;2000000),E13/150,AND(E13&gt;=2000000,E13&lt;3000000),E13/200,E13&gt;=3000000,E13/250)</f>
        <v>152.76</v>
      </c>
      <c r="G13" s="2" t="str" cm="1">
        <f t="array" aca="1" ref="G13" ca="1">IFERROR(_xlfn.IFS(AND(E13&lt;80000,E13&gt;15000),"MEDIUM",E13&gt;80000,"LARGE",E13&lt;15000,"SMALL"),"SMALL")</f>
        <v>SMALL</v>
      </c>
      <c r="H13" s="2" t="str">
        <f t="shared" ca="1" si="0"/>
        <v>false</v>
      </c>
      <c r="I13" s="10" cm="1" vm="47">
        <f t="array" aca="1" ref="I13" ca="1">_FV(D13,"Latitude")</f>
        <v>37.363500000000002</v>
      </c>
      <c r="J13" s="10" cm="1" vm="48">
        <f t="array" aca="1" ref="J13" ca="1">_FV(D13,"Longitude")</f>
        <v>-118.3951</v>
      </c>
      <c r="K13">
        <v>2384</v>
      </c>
      <c r="L13">
        <v>1315</v>
      </c>
      <c r="M13" s="2" t="s">
        <v>15</v>
      </c>
    </row>
    <row r="14" spans="1:13" x14ac:dyDescent="0.25">
      <c r="A14" s="2">
        <v>125</v>
      </c>
      <c r="B14" s="3" t="s">
        <v>27</v>
      </c>
      <c r="C14" s="3" t="s">
        <v>14</v>
      </c>
      <c r="D14" t="e" vm="49">
        <v>#VALUE!</v>
      </c>
      <c r="E14" s="2" cm="1" vm="50">
        <f t="array" aca="1" ref="E14" ca="1">_FV(D14,"Population")</f>
        <v>912</v>
      </c>
      <c r="F14" s="4" cm="1">
        <f t="array" aca="1" ref="F14" ca="1">_xlfn.IFS(E14&lt;2500,E14/10,AND(E14&gt;=2500,E14&lt;25000),E14/25,AND(E14&gt;=25000,E14&lt;100000),E14/50,AND(E14&gt;=100000,E14&lt;1000000),E14/100,AND(E14&gt;=1000000,E14&lt;2000000),E14/150,AND(E14&gt;=2000000,E14&lt;3000000),E14/200,E14&gt;=3000000,E14/250)</f>
        <v>91.2</v>
      </c>
      <c r="G14" s="2" t="str" cm="1">
        <f t="array" aca="1" ref="G14" ca="1">IFERROR(_xlfn.IFS(AND(E14&lt;80000,E14&gt;15000),"MEDIUM",E14&gt;80000,"LARGE",E14&lt;15000,"SMALL"),"SMALL")</f>
        <v>SMALL</v>
      </c>
      <c r="H14" s="2" t="str">
        <f t="shared" ca="1" si="0"/>
        <v>false</v>
      </c>
      <c r="I14" s="10" cm="1" vm="51">
        <f t="array" aca="1" ref="I14" ca="1">_FV(D14,"Latitude")</f>
        <v>38.324444444443998</v>
      </c>
      <c r="J14" s="10" cm="1" vm="52">
        <f t="array" aca="1" ref="J14" ca="1">_FV(D14,"Longitude")</f>
        <v>-123.03861111111</v>
      </c>
      <c r="K14">
        <v>2187</v>
      </c>
      <c r="L14">
        <v>365</v>
      </c>
      <c r="M14" s="2" t="s">
        <v>15</v>
      </c>
    </row>
    <row r="15" spans="1:13" x14ac:dyDescent="0.25">
      <c r="A15" s="2">
        <v>146</v>
      </c>
      <c r="B15" s="3" t="s">
        <v>28</v>
      </c>
      <c r="C15" s="3" t="s">
        <v>14</v>
      </c>
      <c r="D15" t="e" vm="53">
        <v>#VALUE!</v>
      </c>
      <c r="E15" s="2" cm="1" vm="54">
        <f t="array" aca="1" ref="E15" ca="1">_FV(D15,"Population")</f>
        <v>26416</v>
      </c>
      <c r="F15" s="4" cm="1">
        <f t="array" aca="1" ref="F15" ca="1">_xlfn.IFS(E15&lt;2500,E15/10,AND(E15&gt;=2500,E15&lt;25000),E15/25,AND(E15&gt;=25000,E15&lt;100000),E15/50,AND(E15&gt;=100000,E15&lt;1000000),E15/100,AND(E15&gt;=1000000,E15&lt;2000000),E15/150,AND(E15&gt;=2000000,E15&lt;3000000),E15/200,E15&gt;=3000000,E15/250)</f>
        <v>528.32000000000005</v>
      </c>
      <c r="G15" s="2" t="str" cm="1">
        <f t="array" aca="1" ref="G15" ca="1">IFERROR(_xlfn.IFS(AND(E15&lt;80000,E15&gt;15000),"MEDIUM",E15&gt;80000,"LARGE",E15&lt;15000,"SMALL"),"SMALL")</f>
        <v>MEDIUM</v>
      </c>
      <c r="H15" s="2" t="str">
        <f t="shared" ca="1" si="0"/>
        <v>false</v>
      </c>
      <c r="I15" s="10" cm="1" vm="55">
        <f t="array" aca="1" ref="I15" ca="1">_FV(D15,"Latitude")</f>
        <v>32.978611111111</v>
      </c>
      <c r="J15" s="10" cm="1" vm="56">
        <f t="array" aca="1" ref="J15" ca="1">_FV(D15,"Longitude")</f>
        <v>-115.53027777778</v>
      </c>
      <c r="K15">
        <v>3282</v>
      </c>
      <c r="L15">
        <v>1902</v>
      </c>
      <c r="M15" s="2" t="s">
        <v>15</v>
      </c>
    </row>
    <row r="16" spans="1:13" x14ac:dyDescent="0.25">
      <c r="A16" s="2">
        <v>148</v>
      </c>
      <c r="B16" s="3" t="s">
        <v>29</v>
      </c>
      <c r="C16" s="3" t="s">
        <v>14</v>
      </c>
      <c r="D16" t="e" vm="57">
        <v>#VALUE!</v>
      </c>
      <c r="E16" s="2" cm="1" vm="58">
        <f t="array" aca="1" ref="E16" ca="1">_FV(D16,"Population")</f>
        <v>64292</v>
      </c>
      <c r="F16" s="4" cm="1">
        <f t="array" aca="1" ref="F16" ca="1">_xlfn.IFS(E16&lt;2500,E16/10,AND(E16&gt;=2500,E16&lt;25000),E16/25,AND(E16&gt;=25000,E16&lt;100000),E16/50,AND(E16&gt;=100000,E16&lt;1000000),E16/100,AND(E16&gt;=1000000,E16&lt;2000000),E16/150,AND(E16&gt;=2000000,E16&lt;3000000),E16/200,E16&gt;=3000000,E16/250)</f>
        <v>1285.8399999999999</v>
      </c>
      <c r="G16" s="2" t="str" cm="1">
        <f t="array" aca="1" ref="G16" ca="1">IFERROR(_xlfn.IFS(AND(E16&lt;80000,E16&gt;15000),"MEDIUM",E16&gt;80000,"LARGE",E16&lt;15000,"SMALL"),"SMALL")</f>
        <v>MEDIUM</v>
      </c>
      <c r="H16" s="2" t="str">
        <f t="shared" ca="1" si="0"/>
        <v>false</v>
      </c>
      <c r="I16" s="10" cm="1" vm="59">
        <f t="array" aca="1" ref="I16" ca="1">_FV(D16,"Latitude")</f>
        <v>37.931944444443999</v>
      </c>
      <c r="J16" s="10" cm="1" vm="60">
        <f t="array" aca="1" ref="J16" ca="1">_FV(D16,"Longitude")</f>
        <v>-121.69583333333</v>
      </c>
      <c r="K16">
        <v>2267</v>
      </c>
      <c r="L16">
        <v>639</v>
      </c>
      <c r="M16" s="2" t="s">
        <v>15</v>
      </c>
    </row>
    <row r="17" spans="1:13" x14ac:dyDescent="0.25">
      <c r="A17" s="2">
        <v>149</v>
      </c>
      <c r="B17" s="3" t="s">
        <v>30</v>
      </c>
      <c r="C17" s="3" t="s">
        <v>14</v>
      </c>
      <c r="D17" t="e" vm="61">
        <v>#VALUE!</v>
      </c>
      <c r="E17" s="2" cm="1" vm="62">
        <f t="array" aca="1" ref="E17" ca="1">_FV(D17,"Population")</f>
        <v>553</v>
      </c>
      <c r="F17" s="4" cm="1">
        <f t="array" aca="1" ref="F17" ca="1">_xlfn.IFS(E17&lt;2500,E17/10,AND(E17&gt;=2500,E17&lt;25000),E17/25,AND(E17&gt;=25000,E17&lt;100000),E17/50,AND(E17&gt;=100000,E17&lt;1000000),E17/100,AND(E17&gt;=1000000,E17&lt;2000000),E17/150,AND(E17&gt;=2000000,E17&lt;3000000),E17/200,E17&gt;=3000000,E17/250)</f>
        <v>55.3</v>
      </c>
      <c r="G17" s="2" t="str" cm="1">
        <f t="array" aca="1" ref="G17" ca="1">IFERROR(_xlfn.IFS(AND(E17&lt;80000,E17&gt;15000),"MEDIUM",E17&gt;80000,"LARGE",E17&lt;15000,"SMALL"),"SMALL")</f>
        <v>SMALL</v>
      </c>
      <c r="H17" s="2" t="str">
        <f t="shared" ca="1" si="0"/>
        <v>false</v>
      </c>
      <c r="I17" s="10" cm="1" vm="63">
        <f t="array" aca="1" ref="I17" ca="1">_FV(D17,"Latitude")</f>
        <v>38.255833333333001</v>
      </c>
      <c r="J17" s="10" cm="1" vm="64">
        <f t="array" aca="1" ref="J17" ca="1">_FV(D17,"Longitude")</f>
        <v>-119.23138888889</v>
      </c>
      <c r="K17">
        <v>2201</v>
      </c>
      <c r="L17">
        <v>1144</v>
      </c>
      <c r="M17" s="2" t="s">
        <v>15</v>
      </c>
    </row>
    <row r="18" spans="1:13" x14ac:dyDescent="0.25">
      <c r="A18" s="2">
        <v>203</v>
      </c>
      <c r="B18" s="3" t="s">
        <v>31</v>
      </c>
      <c r="C18" s="3" t="s">
        <v>14</v>
      </c>
      <c r="D18" t="e" vm="65">
        <v>#VALUE!</v>
      </c>
      <c r="E18" s="2" cm="1" vm="66">
        <f t="array" aca="1" ref="E18" ca="1">_FV(D18,"Population")</f>
        <v>114746</v>
      </c>
      <c r="F18" s="4" cm="1">
        <f t="array" aca="1" ref="F18" ca="1">_xlfn.IFS(E18&lt;2500,E18/10,AND(E18&gt;=2500,E18&lt;25000),E18/25,AND(E18&gt;=25000,E18&lt;100000),E18/50,AND(E18&gt;=100000,E18&lt;1000000),E18/100,AND(E18&gt;=1000000,E18&lt;2000000),E18/150,AND(E18&gt;=2000000,E18&lt;3000000),E18/200,E18&gt;=3000000,E18/250)</f>
        <v>1147.46</v>
      </c>
      <c r="G18" s="2" t="str" cm="1">
        <f t="array" aca="1" ref="G18" ca="1">IFERROR(_xlfn.IFS(AND(E18&lt;80000,E18&gt;15000),"MEDIUM",E18&gt;80000,"LARGE",E18&lt;15000,"SMALL"),"SMALL")</f>
        <v>LARGE</v>
      </c>
      <c r="H18" s="2" t="str">
        <f t="shared" ca="1" si="0"/>
        <v>false</v>
      </c>
      <c r="I18" s="10" cm="1" vm="67">
        <f t="array" aca="1" ref="I18" ca="1">_FV(D18,"Latitude")</f>
        <v>33.158267000000002</v>
      </c>
      <c r="J18" s="10" cm="1" vm="68">
        <f t="array" aca="1" ref="J18" ca="1">_FV(D18,"Longitude")</f>
        <v>-117.35099599999999</v>
      </c>
      <c r="K18">
        <v>3245</v>
      </c>
      <c r="L18">
        <v>1529</v>
      </c>
      <c r="M18" s="2" t="s">
        <v>15</v>
      </c>
    </row>
    <row r="19" spans="1:13" x14ac:dyDescent="0.25">
      <c r="A19" s="2">
        <v>243</v>
      </c>
      <c r="B19" t="s">
        <v>32</v>
      </c>
      <c r="C19" t="s">
        <v>14</v>
      </c>
      <c r="D19" t="e" vm="69">
        <v>#VALUE!</v>
      </c>
      <c r="E19" s="2" cm="1" vm="70">
        <f t="array" aca="1" ref="E19" ca="1">_FV(D19,"Population")</f>
        <v>2187</v>
      </c>
      <c r="F19" s="4" cm="1">
        <f t="array" aca="1" ref="F19" ca="1">_xlfn.IFS(E19&lt;2500,E19/10,AND(E19&gt;=2500,E19&lt;25000),E19/25,AND(E19&gt;=25000,E19&lt;100000),E19/50,AND(E19&gt;=100000,E19&lt;1000000),E19/100,AND(E19&gt;=1000000,E19&lt;2000000),E19/150,AND(E19&gt;=2000000,E19&lt;3000000),E19/200,E19&gt;=3000000,E19/250)</f>
        <v>218.7</v>
      </c>
      <c r="G19" s="2" t="str" cm="1">
        <f t="array" aca="1" ref="G19" ca="1">IFERROR(_xlfn.IFS(AND(E19&lt;80000,E19&gt;15000),"MEDIUM",E19&gt;80000,"LARGE",E19&lt;15000,"SMALL"),"SMALL")</f>
        <v>SMALL</v>
      </c>
      <c r="H19" s="2" t="str">
        <f t="shared" ca="1" si="0"/>
        <v>false</v>
      </c>
      <c r="I19" s="10" cm="1" vm="71">
        <f t="array" aca="1" ref="I19" ca="1">_FV(D19,"Latitude")</f>
        <v>40.302219999999998</v>
      </c>
      <c r="J19" s="10" cm="1" vm="72">
        <f t="array" aca="1" ref="J19" ca="1">_FV(D19,"Longitude")</f>
        <v>-121.23444000000001</v>
      </c>
      <c r="K19">
        <v>1782</v>
      </c>
      <c r="L19">
        <v>734</v>
      </c>
      <c r="M19" s="2" t="s">
        <v>15</v>
      </c>
    </row>
    <row r="20" spans="1:13" x14ac:dyDescent="0.25">
      <c r="A20" s="2">
        <v>244</v>
      </c>
      <c r="B20" t="s">
        <v>33</v>
      </c>
      <c r="C20" t="s">
        <v>14</v>
      </c>
      <c r="D20" t="e" vm="73">
        <v>#VALUE!</v>
      </c>
      <c r="E20" s="2" cm="1" vm="74">
        <f t="array" aca="1" ref="E20" ca="1">_FV(D20,"Population")</f>
        <v>101475</v>
      </c>
      <c r="F20" s="4" cm="1">
        <f t="array" aca="1" ref="F20" ca="1">_xlfn.IFS(E20&lt;2500,E20/10,AND(E20&gt;=2500,E20&lt;25000),E20/25,AND(E20&gt;=25000,E20&lt;100000),E20/50,AND(E20&gt;=100000,E20&lt;1000000),E20/100,AND(E20&gt;=1000000,E20&lt;2000000),E20/150,AND(E20&gt;=2000000,E20&lt;3000000),E20/200,E20&gt;=3000000,E20/250)</f>
        <v>1014.75</v>
      </c>
      <c r="G20" s="2" t="str" cm="1">
        <f t="array" aca="1" ref="G20" ca="1">IFERROR(_xlfn.IFS(AND(E20&lt;80000,E20&gt;15000),"MEDIUM",E20&gt;80000,"LARGE",E20&lt;15000,"SMALL"),"SMALL")</f>
        <v>LARGE</v>
      </c>
      <c r="H20" s="2" t="str">
        <f t="shared" ca="1" si="0"/>
        <v>false</v>
      </c>
      <c r="I20" s="10" cm="1" vm="75">
        <f t="array" aca="1" ref="I20" ca="1">_FV(D20,"Latitude")</f>
        <v>39.74</v>
      </c>
      <c r="J20" s="10" cm="1" vm="76">
        <f t="array" aca="1" ref="J20" ca="1">_FV(D20,"Longitude")</f>
        <v>-121.83555555556001</v>
      </c>
      <c r="K20">
        <v>1897</v>
      </c>
      <c r="L20">
        <v>611</v>
      </c>
      <c r="M20" s="2" t="s">
        <v>15</v>
      </c>
    </row>
    <row r="21" spans="1:13" x14ac:dyDescent="0.25">
      <c r="A21" s="2">
        <v>248</v>
      </c>
      <c r="B21" s="3" t="s">
        <v>34</v>
      </c>
      <c r="C21" s="3" t="s">
        <v>14</v>
      </c>
      <c r="D21" t="e" vm="77">
        <v>#VALUE!</v>
      </c>
      <c r="E21" s="2" cm="1" vm="78">
        <f t="array" aca="1" ref="E21" ca="1">_FV(D21,"Population")</f>
        <v>91403</v>
      </c>
      <c r="F21" s="4" cm="1">
        <f t="array" aca="1" ref="F21" ca="1">_xlfn.IFS(E21&lt;2500,E21/10,AND(E21&gt;=2500,E21&lt;25000),E21/25,AND(E21&gt;=25000,E21&lt;100000),E21/50,AND(E21&gt;=100000,E21&lt;1000000),E21/100,AND(E21&gt;=1000000,E21&lt;2000000),E21/150,AND(E21&gt;=2000000,E21&lt;3000000),E21/200,E21&gt;=3000000,E21/250)</f>
        <v>1828.06</v>
      </c>
      <c r="G21" s="2" t="str" cm="1">
        <f t="array" aca="1" ref="G21" ca="1">IFERROR(_xlfn.IFS(AND(E21&lt;80000,E21&gt;15000),"MEDIUM",E21&gt;80000,"LARGE",E21&lt;15000,"SMALL"),"SMALL")</f>
        <v>LARGE</v>
      </c>
      <c r="H21" s="2" t="str">
        <f t="shared" ca="1" si="0"/>
        <v>false</v>
      </c>
      <c r="I21" s="10" cm="1" vm="79">
        <f t="array" aca="1" ref="I21" ca="1">_FV(D21,"Latitude")</f>
        <v>34.017777777778001</v>
      </c>
      <c r="J21" s="10" cm="1" vm="80">
        <f t="array" aca="1" ref="J21" ca="1">_FV(D21,"Longitude")</f>
        <v>-117.69</v>
      </c>
      <c r="K21">
        <v>3069</v>
      </c>
      <c r="L21">
        <v>1460</v>
      </c>
      <c r="M21" s="2" t="s">
        <v>15</v>
      </c>
    </row>
    <row r="22" spans="1:13" x14ac:dyDescent="0.25">
      <c r="A22" s="2">
        <v>250</v>
      </c>
      <c r="B22" s="3" t="s">
        <v>35</v>
      </c>
      <c r="C22" s="3" t="s">
        <v>14</v>
      </c>
      <c r="D22" t="e" vm="81">
        <v>#VALUE!</v>
      </c>
      <c r="E22" s="2" cm="1" vm="82">
        <f t="array" aca="1" ref="E22" ca="1">_FV(D22,"Population")</f>
        <v>19039</v>
      </c>
      <c r="F22" s="4" cm="1">
        <f t="array" aca="1" ref="F22" ca="1">_xlfn.IFS(E22&lt;2500,E22/10,AND(E22&gt;=2500,E22&lt;25000),E22/25,AND(E22&gt;=25000,E22&lt;100000),E22/50,AND(E22&gt;=100000,E22&lt;1000000),E22/100,AND(E22&gt;=1000000,E22&lt;2000000),E22/150,AND(E22&gt;=2000000,E22&lt;3000000),E22/200,E22&gt;=3000000,E22/250)</f>
        <v>761.56</v>
      </c>
      <c r="G22" s="2" t="str" cm="1">
        <f t="array" aca="1" ref="G22" ca="1">IFERROR(_xlfn.IFS(AND(E22&lt;80000,E22&gt;15000),"MEDIUM",E22&gt;80000,"LARGE",E22&lt;15000,"SMALL"),"SMALL")</f>
        <v>MEDIUM</v>
      </c>
      <c r="H22" s="2" t="str">
        <f t="shared" ca="1" si="0"/>
        <v>false</v>
      </c>
      <c r="I22" s="10" cm="1" vm="83">
        <f t="array" aca="1" ref="I22" ca="1">_FV(D22,"Latitude")</f>
        <v>37.116666666667001</v>
      </c>
      <c r="J22" s="10" cm="1" vm="84">
        <f t="array" aca="1" ref="J22" ca="1">_FV(D22,"Longitude")</f>
        <v>-120.26666666667001</v>
      </c>
      <c r="K22">
        <v>2434</v>
      </c>
      <c r="L22">
        <v>932</v>
      </c>
      <c r="M22" s="2" t="s">
        <v>15</v>
      </c>
    </row>
    <row r="23" spans="1:13" x14ac:dyDescent="0.25">
      <c r="A23" s="2">
        <v>252</v>
      </c>
      <c r="B23" s="3" t="s">
        <v>36</v>
      </c>
      <c r="C23" s="3" t="s">
        <v>14</v>
      </c>
      <c r="D23" t="e" vm="85">
        <v>#VALUE!</v>
      </c>
      <c r="E23" s="2" cm="1" vm="86">
        <f t="array" aca="1" ref="E23" ca="1">_FV(D23,"Population")</f>
        <v>275487</v>
      </c>
      <c r="F23" s="4" cm="1">
        <f t="array" aca="1" ref="F23" ca="1">_xlfn.IFS(E23&lt;2500,E23/10,AND(E23&gt;=2500,E23&lt;25000),E23/25,AND(E23&gt;=25000,E23&lt;100000),E23/50,AND(E23&gt;=100000,E23&lt;1000000),E23/100,AND(E23&gt;=1000000,E23&lt;2000000),E23/150,AND(E23&gt;=2000000,E23&lt;3000000),E23/200,E23&gt;=3000000,E23/250)</f>
        <v>2754.87</v>
      </c>
      <c r="G23" s="2" t="str" cm="1">
        <f t="array" aca="1" ref="G23" ca="1">IFERROR(_xlfn.IFS(AND(E23&lt;80000,E23&gt;15000),"MEDIUM",E23&gt;80000,"LARGE",E23&lt;15000,"SMALL"),"SMALL")</f>
        <v>LARGE</v>
      </c>
      <c r="H23" s="2" t="str">
        <f t="shared" ca="1" si="0"/>
        <v>true</v>
      </c>
      <c r="I23" s="10" cm="1" vm="87">
        <f t="array" aca="1" ref="I23" ca="1">_FV(D23,"Latitude")</f>
        <v>32.627777777778</v>
      </c>
      <c r="J23" s="10" cm="1" vm="88">
        <f t="array" aca="1" ref="J23" ca="1">_FV(D23,"Longitude")</f>
        <v>-117.04805555556</v>
      </c>
      <c r="K23">
        <v>3354</v>
      </c>
      <c r="L23">
        <v>1591</v>
      </c>
      <c r="M23" s="2" t="s">
        <v>15</v>
      </c>
    </row>
    <row r="24" spans="1:13" x14ac:dyDescent="0.25">
      <c r="A24" s="2">
        <v>262</v>
      </c>
      <c r="B24" s="3" t="s">
        <v>37</v>
      </c>
      <c r="C24" s="3" t="s">
        <v>14</v>
      </c>
      <c r="D24" t="e" vm="89">
        <v>#VALUE!</v>
      </c>
      <c r="E24" s="2" cm="1" vm="90">
        <f t="array" aca="1" ref="E24" ca="1">_FV(D24,"Population")</f>
        <v>16685</v>
      </c>
      <c r="F24" s="4" cm="1">
        <f t="array" aca="1" ref="F24" ca="1">_xlfn.IFS(E24&lt;2500,E24/10,AND(E24&gt;=2500,E24&lt;25000),E24/25,AND(E24&gt;=25000,E24&lt;100000),E24/50,AND(E24&gt;=100000,E24&lt;1000000),E24/100,AND(E24&gt;=1000000,E24&lt;2000000),E24/150,AND(E24&gt;=2000000,E24&lt;3000000),E24/200,E24&gt;=3000000,E24/250)</f>
        <v>667.4</v>
      </c>
      <c r="G24" s="2" t="str" cm="1">
        <f t="array" aca="1" ref="G24" ca="1">IFERROR(_xlfn.IFS(AND(E24&lt;80000,E24&gt;15000),"MEDIUM",E24&gt;80000,"LARGE",E24&lt;15000,"SMALL"),"SMALL")</f>
        <v>MEDIUM</v>
      </c>
      <c r="H24" s="2" t="str">
        <f t="shared" ca="1" si="0"/>
        <v>false</v>
      </c>
      <c r="I24" s="10" cm="1" vm="91">
        <f t="array" aca="1" ref="I24" ca="1">_FV(D24,"Latitude")</f>
        <v>38.958333333333002</v>
      </c>
      <c r="J24" s="10" cm="1" vm="92">
        <f t="array" aca="1" ref="J24" ca="1">_FV(D24,"Longitude")</f>
        <v>-122.62638888889001</v>
      </c>
      <c r="K24">
        <v>2057</v>
      </c>
      <c r="L24">
        <v>449</v>
      </c>
      <c r="M24" s="2" t="s">
        <v>15</v>
      </c>
    </row>
    <row r="25" spans="1:13" x14ac:dyDescent="0.25">
      <c r="A25" s="2">
        <v>270</v>
      </c>
      <c r="B25" s="3" t="s">
        <v>38</v>
      </c>
      <c r="C25" s="3" t="s">
        <v>14</v>
      </c>
      <c r="D25" t="e" vm="93">
        <v>#VALUE!</v>
      </c>
      <c r="E25" s="2" cm="1" vm="94">
        <f t="array" aca="1" ref="E25" ca="1">_FV(D25,"Population")</f>
        <v>120124</v>
      </c>
      <c r="F25" s="4" cm="1">
        <f t="array" aca="1" ref="F25" ca="1">_xlfn.IFS(E25&lt;2500,E25/10,AND(E25&gt;=2500,E25&lt;25000),E25/25,AND(E25&gt;=25000,E25&lt;100000),E25/50,AND(E25&gt;=100000,E25&lt;1000000),E25/100,AND(E25&gt;=1000000,E25&lt;2000000),E25/150,AND(E25&gt;=2000000,E25&lt;3000000),E25/200,E25&gt;=3000000,E25/250)</f>
        <v>1201.24</v>
      </c>
      <c r="G25" s="2" t="str" cm="1">
        <f t="array" aca="1" ref="G25" ca="1">IFERROR(_xlfn.IFS(AND(E25&lt;80000,E25&gt;15000),"MEDIUM",E25&gt;80000,"LARGE",E25&lt;15000,"SMALL"),"SMALL")</f>
        <v>LARGE</v>
      </c>
      <c r="H25" s="2" t="str">
        <f t="shared" ca="1" si="0"/>
        <v>false</v>
      </c>
      <c r="I25" s="10" cm="1" vm="95">
        <f t="array" aca="1" ref="I25" ca="1">_FV(D25,"Latitude")</f>
        <v>36.825277777777998</v>
      </c>
      <c r="J25" s="10" cm="1" vm="96">
        <f t="array" aca="1" ref="J25" ca="1">_FV(D25,"Longitude")</f>
        <v>-119.70305555556</v>
      </c>
      <c r="K25">
        <v>2494</v>
      </c>
      <c r="L25">
        <v>1048</v>
      </c>
      <c r="M25" s="2" t="s">
        <v>15</v>
      </c>
    </row>
    <row r="26" spans="1:13" x14ac:dyDescent="0.25">
      <c r="A26" s="2">
        <v>291</v>
      </c>
      <c r="B26" s="3" t="s">
        <v>39</v>
      </c>
      <c r="C26" s="3" t="s">
        <v>14</v>
      </c>
      <c r="D26" t="e" vm="97">
        <v>#VALUE!</v>
      </c>
      <c r="E26" s="2" cm="1" vm="98">
        <f t="array" aca="1" ref="E26" ca="1">_FV(D26,"Population")</f>
        <v>125410</v>
      </c>
      <c r="F26" s="4" cm="1">
        <f t="array" aca="1" ref="F26" ca="1">_xlfn.IFS(E26&lt;2500,E26/10,AND(E26&gt;=2500,E26&lt;25000),E26/25,AND(E26&gt;=25000,E26&lt;100000),E26/50,AND(E26&gt;=100000,E26&lt;1000000),E26/100,AND(E26&gt;=1000000,E26&lt;2000000),E26/150,AND(E26&gt;=2000000,E26&lt;3000000),E26/200,E26&gt;=3000000,E26/250)</f>
        <v>1254.0999999999999</v>
      </c>
      <c r="G26" s="2" t="str" cm="1">
        <f t="array" aca="1" ref="G26" ca="1">IFERROR(_xlfn.IFS(AND(E26&lt;80000,E26&gt;15000),"MEDIUM",E26&gt;80000,"LARGE",E26&lt;15000,"SMALL"),"SMALL")</f>
        <v>LARGE</v>
      </c>
      <c r="H26" s="2" t="str">
        <f t="shared" ca="1" si="0"/>
        <v>false</v>
      </c>
      <c r="I26" s="10" cm="1" vm="99">
        <f t="array" aca="1" ref="I26" ca="1">_FV(D26,"Latitude")</f>
        <v>37.978055555555997</v>
      </c>
      <c r="J26" s="10" cm="1" vm="100">
        <f t="array" aca="1" ref="J26" ca="1">_FV(D26,"Longitude")</f>
        <v>-122.03111111110999</v>
      </c>
      <c r="K26">
        <v>2258</v>
      </c>
      <c r="L26">
        <v>571</v>
      </c>
      <c r="M26" s="2" t="s">
        <v>15</v>
      </c>
    </row>
    <row r="27" spans="1:13" x14ac:dyDescent="0.25">
      <c r="A27" s="2">
        <v>298</v>
      </c>
      <c r="B27" t="s">
        <v>40</v>
      </c>
      <c r="C27" t="s">
        <v>14</v>
      </c>
      <c r="D27" t="e" vm="101">
        <v>#VALUE!</v>
      </c>
      <c r="E27" s="2" cm="1" vm="102">
        <f t="array" aca="1" ref="E27" ca="1">_FV(D27,"Population")</f>
        <v>157136</v>
      </c>
      <c r="F27" s="4" cm="1">
        <f t="array" aca="1" ref="F27" ca="1">_xlfn.IFS(E27&lt;2500,E27/10,AND(E27&gt;=2500,E27&lt;25000),E27/25,AND(E27&gt;=25000,E27&lt;100000),E27/50,AND(E27&gt;=100000,E27&lt;1000000),E27/100,AND(E27&gt;=1000000,E27&lt;2000000),E27/150,AND(E27&gt;=2000000,E27&lt;3000000),E27/200,E27&gt;=3000000,E27/250)</f>
        <v>1571.36</v>
      </c>
      <c r="G27" s="2" t="str" cm="1">
        <f t="array" aca="1" ref="G27" ca="1">IFERROR(_xlfn.IFS(AND(E27&lt;80000,E27&gt;15000),"MEDIUM",E27&gt;80000,"LARGE",E27&lt;15000,"SMALL"),"SMALL")</f>
        <v>LARGE</v>
      </c>
      <c r="H27" s="2" t="str">
        <f t="shared" ca="1" si="0"/>
        <v>false</v>
      </c>
      <c r="I27" s="10" cm="1" vm="103">
        <f t="array" aca="1" ref="I27" ca="1">_FV(D27,"Latitude")</f>
        <v>33.866666666667001</v>
      </c>
      <c r="J27" s="10" cm="1" vm="104">
        <f t="array" aca="1" ref="J27" ca="1">_FV(D27,"Longitude")</f>
        <v>-117.56666666667</v>
      </c>
      <c r="K27">
        <v>3100</v>
      </c>
      <c r="L27">
        <v>1485</v>
      </c>
      <c r="M27" s="2" t="s">
        <v>15</v>
      </c>
    </row>
    <row r="28" spans="1:13" x14ac:dyDescent="0.25">
      <c r="A28" s="2">
        <v>309</v>
      </c>
      <c r="B28" s="3" t="s">
        <v>41</v>
      </c>
      <c r="C28" s="3" t="s">
        <v>14</v>
      </c>
      <c r="D28" t="e" vm="105">
        <v>#VALUE!</v>
      </c>
      <c r="E28" s="2" cm="1" vm="106">
        <f t="array" aca="1" ref="E28" ca="1">_FV(D28,"Population")</f>
        <v>1394</v>
      </c>
      <c r="F28" s="4" cm="1">
        <f t="array" aca="1" ref="F28" ca="1">_xlfn.IFS(E28&lt;2500,E28/10,AND(E28&gt;=2500,E28&lt;25000),E28/25,AND(E28&gt;=25000,E28&lt;100000),E28/50,AND(E28&gt;=100000,E28&lt;1000000),E28/100,AND(E28&gt;=1000000,E28&lt;2000000),E28/150,AND(E28&gt;=2000000,E28&lt;3000000),E28/200,E28&gt;=3000000,E28/250)</f>
        <v>139.4</v>
      </c>
      <c r="G28" s="2" t="str" cm="1">
        <f t="array" aca="1" ref="G28" ca="1">IFERROR(_xlfn.IFS(AND(E28&lt;80000,E28&gt;15000),"MEDIUM",E28&gt;80000,"LARGE",E28&lt;15000,"SMALL"),"SMALL")</f>
        <v>SMALL</v>
      </c>
      <c r="H28" s="2" t="str">
        <f t="shared" ca="1" si="0"/>
        <v>false</v>
      </c>
      <c r="I28" s="10" cm="1" vm="107">
        <f t="array" aca="1" ref="I28" ca="1">_FV(D28,"Latitude")</f>
        <v>39.793055559999999</v>
      </c>
      <c r="J28" s="10" cm="1" vm="108">
        <f t="array" aca="1" ref="J28" ca="1">_FV(D28,"Longitude")</f>
        <v>-123.24805556</v>
      </c>
      <c r="K28">
        <v>1886</v>
      </c>
      <c r="L28">
        <v>322</v>
      </c>
      <c r="M28" s="2" t="s">
        <v>15</v>
      </c>
    </row>
    <row r="29" spans="1:13" x14ac:dyDescent="0.25">
      <c r="A29" s="2">
        <v>312</v>
      </c>
      <c r="B29" s="3" t="s">
        <v>42</v>
      </c>
      <c r="C29" s="3" t="s">
        <v>14</v>
      </c>
      <c r="D29" t="e" vm="109">
        <v>#VALUE!</v>
      </c>
      <c r="E29" s="2" cm="1" vm="110">
        <f t="array" aca="1" ref="E29" ca="1">_FV(D29,"Population")</f>
        <v>6673</v>
      </c>
      <c r="F29" s="4" cm="1">
        <f t="array" aca="1" ref="F29" ca="1">_xlfn.IFS(E29&lt;2500,E29/10,AND(E29&gt;=2500,E29&lt;25000),E29/25,AND(E29&gt;=25000,E29&lt;100000),E29/50,AND(E29&gt;=100000,E29&lt;1000000),E29/100,AND(E29&gt;=1000000,E29&lt;2000000),E29/150,AND(E29&gt;=2000000,E29&lt;3000000),E29/200,E29&gt;=3000000,E29/250)</f>
        <v>266.92</v>
      </c>
      <c r="G29" s="2" t="str" cm="1">
        <f t="array" aca="1" ref="G29" ca="1">IFERROR(_xlfn.IFS(AND(E29&lt;80000,E29&gt;15000),"MEDIUM",E29&gt;80000,"LARGE",E29&lt;15000,"SMALL"),"SMALL")</f>
        <v>SMALL</v>
      </c>
      <c r="H29" s="2" t="str">
        <f t="shared" ca="1" si="0"/>
        <v>false</v>
      </c>
      <c r="I29" s="10" cm="1" vm="111">
        <f t="array" aca="1" ref="I29" ca="1">_FV(D29,"Latitude")</f>
        <v>41.756111111111103</v>
      </c>
      <c r="J29" s="10" cm="1" vm="112">
        <f t="array" aca="1" ref="J29" ca="1">_FV(D29,"Longitude")</f>
        <v>-124.20166666666699</v>
      </c>
      <c r="K29">
        <v>1484</v>
      </c>
      <c r="L29">
        <v>126</v>
      </c>
      <c r="M29" s="2" t="s">
        <v>15</v>
      </c>
    </row>
    <row r="30" spans="1:13" x14ac:dyDescent="0.25">
      <c r="A30" s="2">
        <v>313</v>
      </c>
      <c r="B30" s="3" t="s">
        <v>43</v>
      </c>
      <c r="C30" s="3" t="s">
        <v>14</v>
      </c>
      <c r="D30" t="e" vm="113">
        <v>#VALUE!</v>
      </c>
      <c r="E30" s="2" cm="1" vm="114">
        <f t="array" aca="1" ref="E30" ca="1">_FV(D30,"Population")</f>
        <v>206</v>
      </c>
      <c r="F30" s="4" cm="1">
        <f t="array" aca="1" ref="F30" ca="1">_xlfn.IFS(E30&lt;2500,E30/10,AND(E30&gt;=2500,E30&lt;25000),E30/25,AND(E30&gt;=25000,E30&lt;100000),E30/50,AND(E30&gt;=100000,E30&lt;1000000),E30/100,AND(E30&gt;=1000000,E30&lt;2000000),E30/150,AND(E30&gt;=2000000,E30&lt;3000000),E30/200,E30&gt;=3000000,E30/250)</f>
        <v>20.6</v>
      </c>
      <c r="G30" s="2" t="str" cm="1">
        <f t="array" aca="1" ref="G30" ca="1">IFERROR(_xlfn.IFS(AND(E30&lt;80000,E30&gt;15000),"MEDIUM",E30&gt;80000,"LARGE",E30&lt;15000,"SMALL"),"SMALL")</f>
        <v>SMALL</v>
      </c>
      <c r="H30" s="2" t="str">
        <f t="shared" ca="1" si="0"/>
        <v>false</v>
      </c>
      <c r="I30" s="10" cm="1" vm="115">
        <f t="array" aca="1" ref="I30" ca="1">_FV(D30,"Latitude")</f>
        <v>40.09638889</v>
      </c>
      <c r="J30" s="10" cm="1" vm="116">
        <f t="array" aca="1" ref="J30" ca="1">_FV(D30,"Longitude")</f>
        <v>-120.91277778</v>
      </c>
      <c r="K30">
        <v>1824</v>
      </c>
      <c r="L30">
        <v>800</v>
      </c>
      <c r="M30" s="2" t="s">
        <v>15</v>
      </c>
    </row>
    <row r="31" spans="1:13" x14ac:dyDescent="0.25">
      <c r="A31" s="2">
        <v>340</v>
      </c>
      <c r="B31" s="3" t="s">
        <v>44</v>
      </c>
      <c r="C31" s="3" t="s">
        <v>14</v>
      </c>
      <c r="D31" t="e" vm="117">
        <v>#VALUE!</v>
      </c>
      <c r="E31" s="2" cm="1" vm="118">
        <f t="array" aca="1" ref="E31" ca="1">_FV(D31,"Population")</f>
        <v>66850</v>
      </c>
      <c r="F31" s="4" cm="1">
        <f t="array" aca="1" ref="F31" ca="1">_xlfn.IFS(E31&lt;2500,E31/10,AND(E31&gt;=2500,E31&lt;25000),E31/25,AND(E31&gt;=25000,E31&lt;100000),E31/50,AND(E31&gt;=100000,E31&lt;1000000),E31/100,AND(E31&gt;=1000000,E31&lt;2000000),E31/150,AND(E31&gt;=2000000,E31&lt;3000000),E31/200,E31&gt;=3000000,E31/250)</f>
        <v>1337</v>
      </c>
      <c r="G31" s="2" t="str" cm="1">
        <f t="array" aca="1" ref="G31" ca="1">IFERROR(_xlfn.IFS(AND(E31&lt;80000,E31&gt;15000),"MEDIUM",E31&gt;80000,"LARGE",E31&lt;15000,"SMALL"),"SMALL")</f>
        <v>MEDIUM</v>
      </c>
      <c r="H31" s="2" t="str">
        <f t="shared" ca="1" si="0"/>
        <v>false</v>
      </c>
      <c r="I31" s="10" cm="1" vm="119">
        <f t="array" aca="1" ref="I31" ca="1">_FV(D31,"Latitude")</f>
        <v>38.553888888888999</v>
      </c>
      <c r="J31" s="10" cm="1" vm="120">
        <f t="array" aca="1" ref="J31" ca="1">_FV(D31,"Longitude")</f>
        <v>-121.73805555556</v>
      </c>
      <c r="K31">
        <v>2140</v>
      </c>
      <c r="L31">
        <v>631</v>
      </c>
      <c r="M31" s="2" t="s">
        <v>15</v>
      </c>
    </row>
    <row r="32" spans="1:13" x14ac:dyDescent="0.25">
      <c r="A32" s="2">
        <v>381</v>
      </c>
      <c r="B32" s="3" t="s">
        <v>45</v>
      </c>
      <c r="C32" s="3" t="s">
        <v>14</v>
      </c>
      <c r="D32" t="e" vm="121">
        <v>#VALUE!</v>
      </c>
      <c r="E32" s="2" cm="1" vm="122">
        <f t="array" aca="1" ref="E32" ca="1">_FV(D32,"Population")</f>
        <v>114355</v>
      </c>
      <c r="F32" s="4" cm="1">
        <f t="array" aca="1" ref="F32" ca="1">_xlfn.IFS(E32&lt;2500,E32/10,AND(E32&gt;=2500,E32&lt;25000),E32/25,AND(E32&gt;=25000,E32&lt;100000),E32/50,AND(E32&gt;=100000,E32&lt;1000000),E32/100,AND(E32&gt;=1000000,E32&lt;2000000),E32/150,AND(E32&gt;=2000000,E32&lt;3000000),E32/200,E32&gt;=3000000,E32/250)</f>
        <v>1143.55</v>
      </c>
      <c r="G32" s="2" t="str" cm="1">
        <f t="array" aca="1" ref="G32" ca="1">IFERROR(_xlfn.IFS(AND(E32&lt;80000,E32&gt;15000),"MEDIUM",E32&gt;80000,"LARGE",E32&lt;15000,"SMALL"),"SMALL")</f>
        <v>LARGE</v>
      </c>
      <c r="H32" s="2" t="str">
        <f t="shared" ca="1" si="0"/>
        <v>false</v>
      </c>
      <c r="I32" s="10" cm="1" vm="123">
        <f t="array" aca="1" ref="I32" ca="1">_FV(D32,"Latitude")</f>
        <v>33.938055555555998</v>
      </c>
      <c r="J32" s="10" cm="1" vm="124">
        <f t="array" aca="1" ref="J32" ca="1">_FV(D32,"Longitude")</f>
        <v>-118.13083333333</v>
      </c>
      <c r="K32">
        <v>3085</v>
      </c>
      <c r="L32">
        <v>1370</v>
      </c>
      <c r="M32" s="2" t="s">
        <v>15</v>
      </c>
    </row>
    <row r="33" spans="1:13" x14ac:dyDescent="0.25">
      <c r="A33" s="2">
        <v>420</v>
      </c>
      <c r="B33" s="3" t="s">
        <v>46</v>
      </c>
      <c r="C33" s="3" t="s">
        <v>14</v>
      </c>
      <c r="D33" t="e" vm="125">
        <v>#VALUE!</v>
      </c>
      <c r="E33" s="2" cm="1" vm="126">
        <f t="array" aca="1" ref="E33" ca="1">_FV(D33,"Population")</f>
        <v>106215</v>
      </c>
      <c r="F33" s="4" cm="1">
        <f t="array" aca="1" ref="F33" ca="1">_xlfn.IFS(E33&lt;2500,E33/10,AND(E33&gt;=2500,E33&lt;25000),E33/25,AND(E33&gt;=25000,E33&lt;100000),E33/50,AND(E33&gt;=100000,E33&lt;1000000),E33/100,AND(E33&gt;=1000000,E33&lt;2000000),E33/150,AND(E33&gt;=2000000,E33&lt;3000000),E33/200,E33&gt;=3000000,E33/250)</f>
        <v>1062.1500000000001</v>
      </c>
      <c r="G33" s="2" t="str" cm="1">
        <f t="array" aca="1" ref="G33" ca="1">IFERROR(_xlfn.IFS(AND(E33&lt;80000,E33&gt;15000),"MEDIUM",E33&gt;80000,"LARGE",E33&lt;15000,"SMALL"),"SMALL")</f>
        <v>LARGE</v>
      </c>
      <c r="H33" s="2" t="str">
        <f t="shared" ca="1" si="0"/>
        <v>false</v>
      </c>
      <c r="I33" s="10" cm="1" vm="127">
        <f t="array" aca="1" ref="I33" ca="1">_FV(D33,"Latitude")</f>
        <v>32.798333333332998</v>
      </c>
      <c r="J33" s="10" cm="1" vm="128">
        <f t="array" aca="1" ref="J33" ca="1">_FV(D33,"Longitude")</f>
        <v>-116.96</v>
      </c>
      <c r="K33">
        <v>3319</v>
      </c>
      <c r="L33">
        <v>1609</v>
      </c>
      <c r="M33" s="2" t="s">
        <v>15</v>
      </c>
    </row>
    <row r="34" spans="1:13" x14ac:dyDescent="0.25">
      <c r="A34" s="2">
        <v>421</v>
      </c>
      <c r="B34" s="3" t="s">
        <v>47</v>
      </c>
      <c r="C34" s="3" t="s">
        <v>14</v>
      </c>
      <c r="D34" t="e" vm="129">
        <v>#VALUE!</v>
      </c>
      <c r="E34" s="2" cm="1" vm="130">
        <f t="array" aca="1" ref="E34" ca="1">_FV(D34,"Population")</f>
        <v>44322</v>
      </c>
      <c r="F34" s="4" cm="1">
        <f t="array" aca="1" ref="F34" ca="1">_xlfn.IFS(E34&lt;2500,E34/10,AND(E34&gt;=2500,E34&lt;25000),E34/25,AND(E34&gt;=25000,E34&lt;100000),E34/50,AND(E34&gt;=100000,E34&lt;1000000),E34/100,AND(E34&gt;=1000000,E34&lt;2000000),E34/150,AND(E34&gt;=2000000,E34&lt;3000000),E34/200,E34&gt;=3000000,E34/250)</f>
        <v>886.44</v>
      </c>
      <c r="G34" s="2" t="str" cm="1">
        <f t="array" aca="1" ref="G34" ca="1">IFERROR(_xlfn.IFS(AND(E34&lt;80000,E34&gt;15000),"MEDIUM",E34&gt;80000,"LARGE",E34&lt;15000,"SMALL"),"SMALL")</f>
        <v>MEDIUM</v>
      </c>
      <c r="H34" s="2" t="str">
        <f t="shared" ca="1" si="0"/>
        <v>false</v>
      </c>
      <c r="I34" s="10" cm="1" vm="131">
        <f t="array" aca="1" ref="I34" ca="1">_FV(D34,"Latitude")</f>
        <v>32.792000000000002</v>
      </c>
      <c r="J34" s="10" cm="1" vm="132">
        <f t="array" aca="1" ref="J34" ca="1">_FV(D34,"Longitude")</f>
        <v>-115.56305140000001</v>
      </c>
      <c r="K34">
        <v>3320</v>
      </c>
      <c r="L34">
        <v>1895</v>
      </c>
      <c r="M34" s="2" t="s">
        <v>15</v>
      </c>
    </row>
    <row r="35" spans="1:13" x14ac:dyDescent="0.25">
      <c r="A35" s="2">
        <v>437</v>
      </c>
      <c r="B35" s="3" t="s">
        <v>48</v>
      </c>
      <c r="C35" s="3" t="s">
        <v>14</v>
      </c>
      <c r="D35" t="e" vm="133">
        <v>#VALUE!</v>
      </c>
      <c r="E35" s="2" cm="1" vm="134">
        <f t="array" aca="1" ref="E35" ca="1">_FV(D35,"Population")</f>
        <v>176124</v>
      </c>
      <c r="F35" s="4" cm="1">
        <f t="array" aca="1" ref="F35" ca="1">_xlfn.IFS(E35&lt;2500,E35/10,AND(E35&gt;=2500,E35&lt;25000),E35/25,AND(E35&gt;=25000,E35&lt;100000),E35/50,AND(E35&gt;=100000,E35&lt;1000000),E35/100,AND(E35&gt;=1000000,E35&lt;2000000),E35/150,AND(E35&gt;=2000000,E35&lt;3000000),E35/200,E35&gt;=3000000,E35/250)</f>
        <v>1761.24</v>
      </c>
      <c r="G35" s="2" t="str" cm="1">
        <f t="array" aca="1" ref="G35" ca="1">IFERROR(_xlfn.IFS(AND(E35&lt;80000,E35&gt;15000),"MEDIUM",E35&gt;80000,"LARGE",E35&lt;15000,"SMALL"),"SMALL")</f>
        <v>LARGE</v>
      </c>
      <c r="H35" s="2" t="str">
        <f t="shared" ca="1" si="0"/>
        <v>false</v>
      </c>
      <c r="I35" s="10" cm="1" vm="135">
        <f t="array" aca="1" ref="I35" ca="1">_FV(D35,"Latitude")</f>
        <v>38.438333333332999</v>
      </c>
      <c r="J35" s="10" cm="1" vm="136">
        <f t="array" aca="1" ref="J35" ca="1">_FV(D35,"Longitude")</f>
        <v>-121.38194444443999</v>
      </c>
      <c r="K35">
        <v>2164</v>
      </c>
      <c r="L35">
        <v>704</v>
      </c>
      <c r="M35" s="2" t="s">
        <v>15</v>
      </c>
    </row>
    <row r="36" spans="1:13" x14ac:dyDescent="0.25">
      <c r="A36" s="2">
        <v>447</v>
      </c>
      <c r="B36" s="3" t="s">
        <v>49</v>
      </c>
      <c r="C36" s="3" t="s">
        <v>14</v>
      </c>
      <c r="D36" t="e" vm="137">
        <v>#VALUE!</v>
      </c>
      <c r="E36" s="2" cm="1" vm="138">
        <f t="array" aca="1" ref="E36" ca="1">_FV(D36,"Population")</f>
        <v>151038</v>
      </c>
      <c r="F36" s="4" cm="1">
        <f t="array" aca="1" ref="F36" ca="1">_xlfn.IFS(E36&lt;2500,E36/10,AND(E36&gt;=2500,E36&lt;25000),E36/25,AND(E36&gt;=25000,E36&lt;100000),E36/50,AND(E36&gt;=100000,E36&lt;1000000),E36/100,AND(E36&gt;=1000000,E36&lt;2000000),E36/150,AND(E36&gt;=2000000,E36&lt;3000000),E36/200,E36&gt;=3000000,E36/250)</f>
        <v>1510.38</v>
      </c>
      <c r="G36" s="2" t="str" cm="1">
        <f t="array" aca="1" ref="G36" ca="1">IFERROR(_xlfn.IFS(AND(E36&lt;80000,E36&gt;15000),"MEDIUM",E36&gt;80000,"LARGE",E36&lt;15000,"SMALL"),"SMALL")</f>
        <v>LARGE</v>
      </c>
      <c r="H36" s="2" t="str">
        <f t="shared" ca="1" si="0"/>
        <v>false</v>
      </c>
      <c r="I36" s="10" cm="1" vm="139">
        <f t="array" aca="1" ref="I36" ca="1">_FV(D36,"Latitude")</f>
        <v>33.124721999999998</v>
      </c>
      <c r="J36" s="10" cm="1" vm="140">
        <f t="array" aca="1" ref="J36" ca="1">_FV(D36,"Longitude")</f>
        <v>-117.080833</v>
      </c>
      <c r="K36">
        <v>3252</v>
      </c>
      <c r="L36">
        <v>1585</v>
      </c>
      <c r="M36" s="2" t="s">
        <v>15</v>
      </c>
    </row>
    <row r="37" spans="1:13" x14ac:dyDescent="0.25">
      <c r="A37" s="2">
        <v>453</v>
      </c>
      <c r="B37" s="3" t="s">
        <v>50</v>
      </c>
      <c r="C37" s="3" t="s">
        <v>14</v>
      </c>
      <c r="D37" t="e" vm="141">
        <v>#VALUE!</v>
      </c>
      <c r="E37" s="2" cm="1" vm="142">
        <f t="array" aca="1" ref="E37" ca="1">_FV(D37,"Population")</f>
        <v>26512</v>
      </c>
      <c r="F37" s="4" cm="1">
        <f t="array" aca="1" ref="F37" ca="1">_xlfn.IFS(E37&lt;2500,E37/10,AND(E37&gt;=2500,E37&lt;25000),E37/25,AND(E37&gt;=25000,E37&lt;100000),E37/50,AND(E37&gt;=100000,E37&lt;1000000),E37/100,AND(E37&gt;=1000000,E37&lt;2000000),E37/150,AND(E37&gt;=2000000,E37&lt;3000000),E37/200,E37&gt;=3000000,E37/250)</f>
        <v>530.24</v>
      </c>
      <c r="G37" s="2" t="str" cm="1">
        <f t="array" aca="1" ref="G37" ca="1">IFERROR(_xlfn.IFS(AND(E37&lt;80000,E37&gt;15000),"MEDIUM",E37&gt;80000,"LARGE",E37&lt;15000,"SMALL"),"SMALL")</f>
        <v>MEDIUM</v>
      </c>
      <c r="H37" s="2" t="str">
        <f t="shared" ca="1" si="0"/>
        <v>false</v>
      </c>
      <c r="I37" s="10" cm="1" vm="143">
        <f t="array" aca="1" ref="I37" ca="1">_FV(D37,"Latitude")</f>
        <v>40.801944444443997</v>
      </c>
      <c r="J37" s="10" cm="1" vm="144">
        <f t="array" aca="1" ref="J37" ca="1">_FV(D37,"Longitude")</f>
        <v>-124.16361111111</v>
      </c>
      <c r="K37">
        <v>1679</v>
      </c>
      <c r="L37">
        <v>134</v>
      </c>
      <c r="M37" s="2" t="s">
        <v>15</v>
      </c>
    </row>
    <row r="38" spans="1:13" x14ac:dyDescent="0.25">
      <c r="A38" s="2">
        <v>459</v>
      </c>
      <c r="B38" s="3" t="s">
        <v>51</v>
      </c>
      <c r="C38" s="3" t="s">
        <v>14</v>
      </c>
      <c r="D38" t="e" vm="145">
        <v>#VALUE!</v>
      </c>
      <c r="E38" s="2" cm="1" vm="146">
        <f t="array" aca="1" ref="E38" ca="1">_FV(D38,"Population")</f>
        <v>119881</v>
      </c>
      <c r="F38" s="4" cm="1">
        <f t="array" aca="1" ref="F38" ca="1">_xlfn.IFS(E38&lt;2500,E38/10,AND(E38&gt;=2500,E38&lt;25000),E38/25,AND(E38&gt;=25000,E38&lt;100000),E38/50,AND(E38&gt;=100000,E38&lt;1000000),E38/100,AND(E38&gt;=1000000,E38&lt;2000000),E38/150,AND(E38&gt;=2000000,E38&lt;3000000),E38/200,E38&gt;=3000000,E38/250)</f>
        <v>1198.81</v>
      </c>
      <c r="G38" s="2" t="str" cm="1">
        <f t="array" aca="1" ref="G38" ca="1">IFERROR(_xlfn.IFS(AND(E38&lt;80000,E38&gt;15000),"MEDIUM",E38&gt;80000,"LARGE",E38&lt;15000,"SMALL"),"SMALL")</f>
        <v>LARGE</v>
      </c>
      <c r="H38" s="2" t="str">
        <f t="shared" ca="1" si="0"/>
        <v>false</v>
      </c>
      <c r="I38" s="10" cm="1" vm="147">
        <f t="array" aca="1" ref="I38" ca="1">_FV(D38,"Latitude")</f>
        <v>38.257777777778003</v>
      </c>
      <c r="J38" s="10" cm="1" vm="148">
        <f t="array" aca="1" ref="J38" ca="1">_FV(D38,"Longitude")</f>
        <v>-122.05416666667</v>
      </c>
      <c r="K38">
        <v>2201</v>
      </c>
      <c r="L38">
        <v>566</v>
      </c>
      <c r="M38" s="2" t="s">
        <v>15</v>
      </c>
    </row>
    <row r="39" spans="1:13" x14ac:dyDescent="0.25">
      <c r="A39" s="2">
        <v>482</v>
      </c>
      <c r="B39" s="3" t="s">
        <v>52</v>
      </c>
      <c r="C39" s="3" t="s">
        <v>14</v>
      </c>
      <c r="D39" t="e" vm="149">
        <v>#VALUE!</v>
      </c>
      <c r="E39" s="2" cm="1" vm="150">
        <f t="array" aca="1" ref="E39" ca="1">_FV(D39,"Population")</f>
        <v>80454</v>
      </c>
      <c r="F39" s="4" cm="1">
        <f t="array" aca="1" ref="F39" ca="1">_xlfn.IFS(E39&lt;2500,E39/10,AND(E39&gt;=2500,E39&lt;25000),E39/25,AND(E39&gt;=25000,E39&lt;100000),E39/50,AND(E39&gt;=100000,E39&lt;1000000),E39/100,AND(E39&gt;=1000000,E39&lt;2000000),E39/150,AND(E39&gt;=2000000,E39&lt;3000000),E39/200,E39&gt;=3000000,E39/250)</f>
        <v>1609.08</v>
      </c>
      <c r="G39" s="2" t="str" cm="1">
        <f t="array" aca="1" ref="G39" ca="1">IFERROR(_xlfn.IFS(AND(E39&lt;80000,E39&gt;15000),"MEDIUM",E39&gt;80000,"LARGE",E39&lt;15000,"SMALL"),"SMALL")</f>
        <v>LARGE</v>
      </c>
      <c r="H39" s="2" t="str">
        <f t="shared" ca="1" si="0"/>
        <v>false</v>
      </c>
      <c r="I39" s="10" cm="1" vm="151">
        <f t="array" aca="1" ref="I39" ca="1">_FV(D39,"Latitude")</f>
        <v>38.672222222221997</v>
      </c>
      <c r="J39" s="10" cm="1" vm="152">
        <f t="array" aca="1" ref="J39" ca="1">_FV(D39,"Longitude")</f>
        <v>-121.15777777778</v>
      </c>
      <c r="K39">
        <v>2116</v>
      </c>
      <c r="L39">
        <v>750</v>
      </c>
      <c r="M39" s="2" t="s">
        <v>15</v>
      </c>
    </row>
    <row r="40" spans="1:13" x14ac:dyDescent="0.25">
      <c r="A40" s="2">
        <v>493</v>
      </c>
      <c r="B40" s="3" t="s">
        <v>53</v>
      </c>
      <c r="C40" s="3" t="s">
        <v>14</v>
      </c>
      <c r="D40" t="e" vm="153">
        <v>#VALUE!</v>
      </c>
      <c r="E40" s="2" cm="1" vm="154">
        <f t="array" aca="1" ref="E40" ca="1">_FV(D40,"Population")</f>
        <v>6983</v>
      </c>
      <c r="F40" s="4" cm="1">
        <f t="array" aca="1" ref="F40" ca="1">_xlfn.IFS(E40&lt;2500,E40/10,AND(E40&gt;=2500,E40&lt;25000),E40/25,AND(E40&gt;=25000,E40&lt;100000),E40/50,AND(E40&gt;=100000,E40&lt;1000000),E40/100,AND(E40&gt;=1000000,E40&lt;2000000),E40/150,AND(E40&gt;=2000000,E40&lt;3000000),E40/200,E40&gt;=3000000,E40/250)</f>
        <v>279.32</v>
      </c>
      <c r="G40" s="2" t="str" cm="1">
        <f t="array" aca="1" ref="G40" ca="1">IFERROR(_xlfn.IFS(AND(E40&lt;80000,E40&gt;15000),"MEDIUM",E40&gt;80000,"LARGE",E40&lt;15000,"SMALL"),"SMALL")</f>
        <v>SMALL</v>
      </c>
      <c r="H40" s="2" t="str">
        <f t="shared" ca="1" si="0"/>
        <v>false</v>
      </c>
      <c r="I40" s="10" cm="1" vm="155">
        <f t="array" aca="1" ref="I40" ca="1">_FV(D40,"Latitude")</f>
        <v>39.445833333332999</v>
      </c>
      <c r="J40" s="10" cm="1" vm="156">
        <f t="array" aca="1" ref="J40" ca="1">_FV(D40,"Longitude")</f>
        <v>-123.80527777778001</v>
      </c>
      <c r="K40">
        <v>1957</v>
      </c>
      <c r="L40">
        <v>207</v>
      </c>
      <c r="M40" s="2" t="s">
        <v>15</v>
      </c>
    </row>
    <row r="41" spans="1:13" x14ac:dyDescent="0.25">
      <c r="A41" s="2">
        <v>504</v>
      </c>
      <c r="B41" t="s">
        <v>54</v>
      </c>
      <c r="C41" t="s">
        <v>14</v>
      </c>
      <c r="D41" t="e" vm="157">
        <v>#VALUE!</v>
      </c>
      <c r="E41" s="2" cm="1" vm="158">
        <f t="array" aca="1" ref="E41" ca="1">_FV(D41,"Population")</f>
        <v>230504</v>
      </c>
      <c r="F41" s="4" cm="1">
        <f t="array" aca="1" ref="F41" ca="1">_xlfn.IFS(E41&lt;2500,E41/10,AND(E41&gt;=2500,E41&lt;25000),E41/25,AND(E41&gt;=25000,E41&lt;100000),E41/50,AND(E41&gt;=100000,E41&lt;1000000),E41/100,AND(E41&gt;=1000000,E41&lt;2000000),E41/150,AND(E41&gt;=2000000,E41&lt;3000000),E41/200,E41&gt;=3000000,E41/250)</f>
        <v>2305.04</v>
      </c>
      <c r="G41" s="2" t="str" cm="1">
        <f t="array" aca="1" ref="G41" ca="1">IFERROR(_xlfn.IFS(AND(E41&lt;80000,E41&gt;15000),"MEDIUM",E41&gt;80000,"LARGE",E41&lt;15000,"SMALL"),"SMALL")</f>
        <v>LARGE</v>
      </c>
      <c r="H41" s="2" t="str">
        <f t="shared" ca="1" si="0"/>
        <v>true</v>
      </c>
      <c r="I41" s="10" cm="1" vm="159">
        <f t="array" aca="1" ref="I41" ca="1">_FV(D41,"Latitude")</f>
        <v>37.543055555556002</v>
      </c>
      <c r="J41" s="10" cm="1" vm="160">
        <f t="array" aca="1" ref="J41" ca="1">_FV(D41,"Longitude")</f>
        <v>-121.98277777778</v>
      </c>
      <c r="K41">
        <v>2347</v>
      </c>
      <c r="L41">
        <v>581</v>
      </c>
      <c r="M41" s="2" t="s">
        <v>15</v>
      </c>
    </row>
    <row r="42" spans="1:13" x14ac:dyDescent="0.25">
      <c r="A42" s="2">
        <v>509</v>
      </c>
      <c r="B42" s="3" t="s">
        <v>55</v>
      </c>
      <c r="C42" s="3" t="s">
        <v>14</v>
      </c>
      <c r="D42" t="e" vm="161">
        <v>#VALUE!</v>
      </c>
      <c r="E42" s="2" cm="1" vm="162">
        <f t="array" aca="1" ref="E42" ca="1">_FV(D42,"Population")</f>
        <v>542107</v>
      </c>
      <c r="F42" s="4" cm="1">
        <f t="array" aca="1" ref="F42" ca="1">_xlfn.IFS(E42&lt;2500,E42/10,AND(E42&gt;=2500,E42&lt;25000),E42/25,AND(E42&gt;=25000,E42&lt;100000),E42/50,AND(E42&gt;=100000,E42&lt;1000000),E42/100,AND(E42&gt;=1000000,E42&lt;2000000),E42/150,AND(E42&gt;=2000000,E42&lt;3000000),E42/200,E42&gt;=3000000,E42/250)</f>
        <v>5421.07</v>
      </c>
      <c r="G42" s="2" t="str" cm="1">
        <f t="array" aca="1" ref="G42" ca="1">IFERROR(_xlfn.IFS(AND(E42&lt;80000,E42&gt;15000),"MEDIUM",E42&gt;80000,"LARGE",E42&lt;15000,"SMALL"),"SMALL")</f>
        <v>LARGE</v>
      </c>
      <c r="H42" s="2" t="str">
        <f t="shared" ca="1" si="0"/>
        <v>true</v>
      </c>
      <c r="I42" s="10" cm="1" vm="163">
        <f t="array" aca="1" ref="I42" ca="1">_FV(D42,"Latitude")</f>
        <v>36.781666666667</v>
      </c>
      <c r="J42" s="10" cm="1" vm="164">
        <f t="array" aca="1" ref="J42" ca="1">_FV(D42,"Longitude")</f>
        <v>-119.79222222222</v>
      </c>
      <c r="K42">
        <v>2503</v>
      </c>
      <c r="L42">
        <v>1029</v>
      </c>
      <c r="M42" s="2" t="s">
        <v>15</v>
      </c>
    </row>
    <row r="43" spans="1:13" x14ac:dyDescent="0.25">
      <c r="A43" s="2">
        <v>515</v>
      </c>
      <c r="B43" s="3" t="s">
        <v>56</v>
      </c>
      <c r="C43" s="3" t="s">
        <v>14</v>
      </c>
      <c r="D43" t="e" vm="165">
        <v>#VALUE!</v>
      </c>
      <c r="E43" s="2" cm="1" vm="166">
        <f t="array" aca="1" ref="E43" ca="1">_FV(D43,"Population")</f>
        <v>136</v>
      </c>
      <c r="F43" s="4" cm="1">
        <f t="array" aca="1" ref="F43" ca="1">_xlfn.IFS(E43&lt;2500,E43/10,AND(E43&gt;=2500,E43&lt;25000),E43/25,AND(E43&gt;=25000,E43&lt;100000),E43/50,AND(E43&gt;=100000,E43&lt;1000000),E43/100,AND(E43&gt;=1000000,E43&lt;2000000),E43/150,AND(E43&gt;=2000000,E43&lt;3000000),E43/200,E43&gt;=3000000,E43/250)</f>
        <v>13.6</v>
      </c>
      <c r="G43" s="2" t="str" cm="1">
        <f t="array" aca="1" ref="G43" ca="1">IFERROR(_xlfn.IFS(AND(E43&lt;80000,E43&gt;15000),"MEDIUM",E43&gt;80000,"LARGE",E43&lt;15000,"SMALL"),"SMALL")</f>
        <v>SMALL</v>
      </c>
      <c r="H43" s="2" t="str">
        <f t="shared" ca="1" si="0"/>
        <v>false</v>
      </c>
      <c r="I43" s="10" cm="1" vm="167">
        <f t="array" aca="1" ref="I43" ca="1">_FV(D43,"Latitude")</f>
        <v>36.458055555556001</v>
      </c>
      <c r="J43" s="10" cm="1" vm="168">
        <f t="array" aca="1" ref="J43" ca="1">_FV(D43,"Longitude")</f>
        <v>-116.87083333333</v>
      </c>
      <c r="K43">
        <v>2569</v>
      </c>
      <c r="L43">
        <v>1628</v>
      </c>
      <c r="M43" s="2" t="s">
        <v>15</v>
      </c>
    </row>
    <row r="44" spans="1:13" x14ac:dyDescent="0.25">
      <c r="A44" s="2">
        <v>530</v>
      </c>
      <c r="B44" s="3" t="s">
        <v>57</v>
      </c>
      <c r="C44" s="3" t="s">
        <v>14</v>
      </c>
      <c r="D44" t="e" vm="169">
        <v>#VALUE!</v>
      </c>
      <c r="E44" s="2" cm="1" vm="170">
        <f t="array" aca="1" ref="E44" ca="1">_FV(D44,"Population")</f>
        <v>59520</v>
      </c>
      <c r="F44" s="4" cm="1">
        <f t="array" aca="1" ref="F44" ca="1">_xlfn.IFS(E44&lt;2500,E44/10,AND(E44&gt;=2500,E44&lt;25000),E44/25,AND(E44&gt;=25000,E44&lt;100000),E44/50,AND(E44&gt;=100000,E44&lt;1000000),E44/100,AND(E44&gt;=1000000,E44&lt;2000000),E44/150,AND(E44&gt;=2000000,E44&lt;3000000),E44/200,E44&gt;=3000000,E44/250)</f>
        <v>1190.4000000000001</v>
      </c>
      <c r="G44" s="2" t="str" cm="1">
        <f t="array" aca="1" ref="G44" ca="1">IFERROR(_xlfn.IFS(AND(E44&lt;80000,E44&gt;15000),"MEDIUM",E44&gt;80000,"LARGE",E44&lt;15000,"SMALL"),"SMALL")</f>
        <v>MEDIUM</v>
      </c>
      <c r="H44" s="2" t="str">
        <f t="shared" ca="1" si="0"/>
        <v>false</v>
      </c>
      <c r="I44" s="10" cm="1" vm="171">
        <f t="array" aca="1" ref="I44" ca="1">_FV(D44,"Latitude")</f>
        <v>37.011944444443998</v>
      </c>
      <c r="J44" s="10" cm="1" vm="172">
        <f t="array" aca="1" ref="J44" ca="1">_FV(D44,"Longitude")</f>
        <v>-121.58</v>
      </c>
      <c r="K44">
        <v>2456</v>
      </c>
      <c r="L44">
        <v>663</v>
      </c>
      <c r="M44" s="2" t="s">
        <v>15</v>
      </c>
    </row>
    <row r="45" spans="1:13" x14ac:dyDescent="0.25">
      <c r="A45" s="2">
        <v>533</v>
      </c>
      <c r="B45" s="3" t="s">
        <v>58</v>
      </c>
      <c r="C45" s="3" t="s">
        <v>14</v>
      </c>
      <c r="D45" t="e" vm="173">
        <v>#VALUE!</v>
      </c>
      <c r="E45" s="2" cm="1" vm="174">
        <f t="array" aca="1" ref="E45" ca="1">_FV(D45,"Population")</f>
        <v>196543</v>
      </c>
      <c r="F45" s="4" cm="1">
        <f t="array" aca="1" ref="F45" ca="1">_xlfn.IFS(E45&lt;2500,E45/10,AND(E45&gt;=2500,E45&lt;25000),E45/25,AND(E45&gt;=25000,E45&lt;100000),E45/50,AND(E45&gt;=100000,E45&lt;1000000),E45/100,AND(E45&gt;=1000000,E45&lt;2000000),E45/150,AND(E45&gt;=2000000,E45&lt;3000000),E45/200,E45&gt;=3000000,E45/250)</f>
        <v>1965.43</v>
      </c>
      <c r="G45" s="2" t="str" cm="1">
        <f t="array" aca="1" ref="G45" ca="1">IFERROR(_xlfn.IFS(AND(E45&lt;80000,E45&gt;15000),"MEDIUM",E45&gt;80000,"LARGE",E45&lt;15000,"SMALL"),"SMALL")</f>
        <v>LARGE</v>
      </c>
      <c r="H45" s="2" t="str">
        <f t="shared" ca="1" si="0"/>
        <v>false</v>
      </c>
      <c r="I45" s="10" cm="1" vm="175">
        <f t="array" aca="1" ref="I45" ca="1">_FV(D45,"Latitude")</f>
        <v>34.170833333333</v>
      </c>
      <c r="J45" s="10" cm="1" vm="176">
        <f t="array" aca="1" ref="J45" ca="1">_FV(D45,"Longitude")</f>
        <v>-118.25</v>
      </c>
      <c r="K45">
        <v>3038</v>
      </c>
      <c r="L45">
        <v>1345</v>
      </c>
      <c r="M45" s="2" t="s">
        <v>15</v>
      </c>
    </row>
    <row r="46" spans="1:13" x14ac:dyDescent="0.25">
      <c r="A46" s="2">
        <v>576</v>
      </c>
      <c r="B46" s="3" t="s">
        <v>59</v>
      </c>
      <c r="C46" s="3" t="s">
        <v>14</v>
      </c>
      <c r="D46" t="e" vm="177">
        <v>#VALUE!</v>
      </c>
      <c r="E46" s="2" cm="1" vm="178">
        <f t="array" aca="1" ref="E46" ca="1">_FV(D46,"Population")</f>
        <v>11795</v>
      </c>
      <c r="F46" s="4" cm="1">
        <f t="array" aca="1" ref="F46" ca="1">_xlfn.IFS(E46&lt;2500,E46/10,AND(E46&gt;=2500,E46&lt;25000),E46/25,AND(E46&gt;=25000,E46&lt;100000),E46/50,AND(E46&gt;=100000,E46&lt;1000000),E46/100,AND(E46&gt;=1000000,E46&lt;2000000),E46/150,AND(E46&gt;=2000000,E46&lt;3000000),E46/200,E46&gt;=3000000,E46/250)</f>
        <v>471.8</v>
      </c>
      <c r="G46" s="2" t="str" cm="1">
        <f t="array" aca="1" ref="G46" ca="1">IFERROR(_xlfn.IFS(AND(E46&lt;80000,E46&gt;15000),"MEDIUM",E46&gt;80000,"LARGE",E46&lt;15000,"SMALL"),"SMALL")</f>
        <v>SMALL</v>
      </c>
      <c r="H46" s="2" t="str">
        <f t="shared" ca="1" si="0"/>
        <v>false</v>
      </c>
      <c r="I46" s="10" cm="1" vm="179">
        <f t="array" aca="1" ref="I46" ca="1">_FV(D46,"Latitude")</f>
        <v>37.458888888889</v>
      </c>
      <c r="J46" s="10" cm="1" vm="180">
        <f t="array" aca="1" ref="J46" ca="1">_FV(D46,"Longitude")</f>
        <v>-122.43694444444</v>
      </c>
      <c r="K46">
        <v>2364</v>
      </c>
      <c r="L46">
        <v>488</v>
      </c>
      <c r="M46" s="2" t="s">
        <v>15</v>
      </c>
    </row>
    <row r="47" spans="1:13" x14ac:dyDescent="0.25">
      <c r="A47" s="2">
        <v>579</v>
      </c>
      <c r="B47" s="3" t="s">
        <v>60</v>
      </c>
      <c r="C47" s="3" t="s">
        <v>14</v>
      </c>
      <c r="D47" t="e" vm="181">
        <v>#VALUE!</v>
      </c>
      <c r="E47" s="2" cm="1" vm="182">
        <f t="array" aca="1" ref="E47" ca="1">_FV(D47,"Population")</f>
        <v>57990</v>
      </c>
      <c r="F47" s="4" cm="1">
        <f t="array" aca="1" ref="F47" ca="1">_xlfn.IFS(E47&lt;2500,E47/10,AND(E47&gt;=2500,E47&lt;25000),E47/25,AND(E47&gt;=25000,E47&lt;100000),E47/50,AND(E47&gt;=100000,E47&lt;1000000),E47/100,AND(E47&gt;=1000000,E47&lt;2000000),E47/150,AND(E47&gt;=2000000,E47&lt;3000000),E47/200,E47&gt;=3000000,E47/250)</f>
        <v>1159.8</v>
      </c>
      <c r="G47" s="2" t="str" cm="1">
        <f t="array" aca="1" ref="G47" ca="1">IFERROR(_xlfn.IFS(AND(E47&lt;80000,E47&gt;15000),"MEDIUM",E47&gt;80000,"LARGE",E47&lt;15000,"SMALL"),"SMALL")</f>
        <v>MEDIUM</v>
      </c>
      <c r="H47" s="2" t="str">
        <f t="shared" ca="1" si="0"/>
        <v>false</v>
      </c>
      <c r="I47" s="10" cm="1" vm="183">
        <f t="array" aca="1" ref="I47" ca="1">_FV(D47,"Latitude")</f>
        <v>36.327500000000001</v>
      </c>
      <c r="J47" s="10" cm="1" vm="184">
        <f t="array" aca="1" ref="J47" ca="1">_FV(D47,"Longitude")</f>
        <v>-119.64555555555999</v>
      </c>
      <c r="K47">
        <v>2596</v>
      </c>
      <c r="L47">
        <v>1059</v>
      </c>
      <c r="M47" s="2" t="s">
        <v>15</v>
      </c>
    </row>
    <row r="48" spans="1:13" x14ac:dyDescent="0.25">
      <c r="A48" s="2">
        <v>591</v>
      </c>
      <c r="B48" t="s">
        <v>61</v>
      </c>
      <c r="C48" t="s">
        <v>14</v>
      </c>
      <c r="D48" t="e" vm="185">
        <v>#VALUE!</v>
      </c>
      <c r="E48" s="2" cm="1" vm="186">
        <f t="array" aca="1" ref="E48" ca="1">_FV(D48,"Population")</f>
        <v>162954</v>
      </c>
      <c r="F48" s="4" cm="1">
        <f t="array" aca="1" ref="F48" ca="1">_xlfn.IFS(E48&lt;2500,E48/10,AND(E48&gt;=2500,E48&lt;25000),E48/25,AND(E48&gt;=25000,E48&lt;100000),E48/50,AND(E48&gt;=100000,E48&lt;1000000),E48/100,AND(E48&gt;=1000000,E48&lt;2000000),E48/150,AND(E48&gt;=2000000,E48&lt;3000000),E48/200,E48&gt;=3000000,E48/250)</f>
        <v>1629.54</v>
      </c>
      <c r="G48" s="2" t="str" cm="1">
        <f t="array" aca="1" ref="G48" ca="1">IFERROR(_xlfn.IFS(AND(E48&lt;80000,E48&gt;15000),"MEDIUM",E48&gt;80000,"LARGE",E48&lt;15000,"SMALL"),"SMALL")</f>
        <v>LARGE</v>
      </c>
      <c r="H48" s="2" t="str">
        <f t="shared" ca="1" si="0"/>
        <v>false</v>
      </c>
      <c r="I48" s="10" cm="1" vm="187">
        <f t="array" aca="1" ref="I48" ca="1">_FV(D48,"Latitude")</f>
        <v>37.668888888889001</v>
      </c>
      <c r="J48" s="10" cm="1" vm="188">
        <f t="array" aca="1" ref="J48" ca="1">_FV(D48,"Longitude")</f>
        <v>-122.08083333333001</v>
      </c>
      <c r="K48">
        <v>2321</v>
      </c>
      <c r="L48">
        <v>561</v>
      </c>
      <c r="M48" s="2" t="s">
        <v>15</v>
      </c>
    </row>
    <row r="49" spans="1:13" x14ac:dyDescent="0.25">
      <c r="A49" s="2">
        <v>613</v>
      </c>
      <c r="B49" s="3" t="s">
        <v>62</v>
      </c>
      <c r="C49" s="3" t="s">
        <v>14</v>
      </c>
      <c r="D49" t="e" vm="189">
        <v>#VALUE!</v>
      </c>
      <c r="E49" s="2" cm="1" vm="190">
        <f t="array" aca="1" ref="E49" ca="1">_FV(D49,"Population")</f>
        <v>41678</v>
      </c>
      <c r="F49" s="4" cm="1">
        <f t="array" aca="1" ref="F49" ca="1">_xlfn.IFS(E49&lt;2500,E49/10,AND(E49&gt;=2500,E49&lt;25000),E49/25,AND(E49&gt;=25000,E49&lt;100000),E49/50,AND(E49&gt;=100000,E49&lt;1000000),E49/100,AND(E49&gt;=1000000,E49&lt;2000000),E49/150,AND(E49&gt;=2000000,E49&lt;3000000),E49/200,E49&gt;=3000000,E49/250)</f>
        <v>833.56</v>
      </c>
      <c r="G49" s="2" t="str" cm="1">
        <f t="array" aca="1" ref="G49" ca="1">IFERROR(_xlfn.IFS(AND(E49&lt;80000,E49&gt;15000),"MEDIUM",E49&gt;80000,"LARGE",E49&lt;15000,"SMALL"),"SMALL")</f>
        <v>MEDIUM</v>
      </c>
      <c r="H49" s="2" t="str">
        <f t="shared" ca="1" si="0"/>
        <v>false</v>
      </c>
      <c r="I49" s="10" cm="1" vm="191">
        <f t="array" aca="1" ref="I49" ca="1">_FV(D49,"Latitude")</f>
        <v>36.846939999999996</v>
      </c>
      <c r="J49" s="10" cm="1" vm="192">
        <f t="array" aca="1" ref="J49" ca="1">_FV(D49,"Longitude")</f>
        <v>-121.39806</v>
      </c>
      <c r="K49">
        <v>2489</v>
      </c>
      <c r="L49">
        <v>700</v>
      </c>
      <c r="M49" s="2" t="s">
        <v>15</v>
      </c>
    </row>
    <row r="50" spans="1:13" x14ac:dyDescent="0.25">
      <c r="A50" s="2">
        <v>627</v>
      </c>
      <c r="B50" s="3" t="s">
        <v>63</v>
      </c>
      <c r="C50" s="3" t="s">
        <v>14</v>
      </c>
      <c r="D50" t="e" vm="193">
        <v>#VALUE!</v>
      </c>
      <c r="E50" s="2" cm="1" vm="194">
        <f t="array" aca="1" ref="E50" ca="1">_FV(D50,"Population")</f>
        <v>198711</v>
      </c>
      <c r="F50" s="4" cm="1">
        <f t="array" aca="1" ref="F50" ca="1">_xlfn.IFS(E50&lt;2500,E50/10,AND(E50&gt;=2500,E50&lt;25000),E50/25,AND(E50&gt;=25000,E50&lt;100000),E50/50,AND(E50&gt;=100000,E50&lt;1000000),E50/100,AND(E50&gt;=1000000,E50&lt;2000000),E50/150,AND(E50&gt;=2000000,E50&lt;3000000),E50/200,E50&gt;=3000000,E50/250)</f>
        <v>1987.11</v>
      </c>
      <c r="G50" s="2" t="str" cm="1">
        <f t="array" aca="1" ref="G50" ca="1">IFERROR(_xlfn.IFS(AND(E50&lt;80000,E50&gt;15000),"MEDIUM",E50&gt;80000,"LARGE",E50&lt;15000,"SMALL"),"SMALL")</f>
        <v>LARGE</v>
      </c>
      <c r="H50" s="2" t="str">
        <f t="shared" ca="1" si="0"/>
        <v>false</v>
      </c>
      <c r="I50" s="10" cm="1" vm="195">
        <f t="array" aca="1" ref="I50" ca="1">_FV(D50,"Latitude")</f>
        <v>33.692777777777998</v>
      </c>
      <c r="J50" s="10" cm="1" vm="196">
        <f t="array" aca="1" ref="J50" ca="1">_FV(D50,"Longitude")</f>
        <v>-117.99972222222</v>
      </c>
      <c r="K50">
        <v>3135</v>
      </c>
      <c r="L50">
        <v>1396</v>
      </c>
      <c r="M50" s="2" t="s">
        <v>15</v>
      </c>
    </row>
    <row r="51" spans="1:13" x14ac:dyDescent="0.25">
      <c r="A51" s="2">
        <v>636</v>
      </c>
      <c r="B51" s="3" t="s">
        <v>64</v>
      </c>
      <c r="C51" s="3" t="s">
        <v>14</v>
      </c>
      <c r="D51" t="e" vm="197">
        <v>#VALUE!</v>
      </c>
      <c r="E51" s="2" cm="1" vm="198">
        <f t="array" aca="1" ref="E51" ca="1">_FV(D51,"Population")</f>
        <v>593</v>
      </c>
      <c r="F51" s="4" cm="1">
        <f t="array" aca="1" ref="F51" ca="1">_xlfn.IFS(E51&lt;2500,E51/10,AND(E51&gt;=2500,E51&lt;25000),E51/25,AND(E51&gt;=25000,E51&lt;100000),E51/50,AND(E51&gt;=100000,E51&lt;1000000),E51/100,AND(E51&gt;=1000000,E51&lt;2000000),E51/150,AND(E51&gt;=2000000,E51&lt;3000000),E51/200,E51&gt;=3000000,E51/250)</f>
        <v>59.3</v>
      </c>
      <c r="G51" s="2" t="str" cm="1">
        <f t="array" aca="1" ref="G51" ca="1">IFERROR(_xlfn.IFS(AND(E51&lt;80000,E51&gt;15000),"MEDIUM",E51&gt;80000,"LARGE",E51&lt;15000,"SMALL"),"SMALL")</f>
        <v>SMALL</v>
      </c>
      <c r="H51" s="2" t="str">
        <f t="shared" ca="1" si="0"/>
        <v>false</v>
      </c>
      <c r="I51" s="10" cm="1" vm="199">
        <f t="array" aca="1" ref="I51" ca="1">_FV(D51,"Latitude")</f>
        <v>36.802777777777997</v>
      </c>
      <c r="J51" s="10" cm="1" vm="200">
        <f t="array" aca="1" ref="J51" ca="1">_FV(D51,"Longitude")</f>
        <v>-118.2</v>
      </c>
      <c r="K51">
        <v>2499</v>
      </c>
      <c r="L51">
        <v>1355</v>
      </c>
      <c r="M51" s="2" t="s">
        <v>15</v>
      </c>
    </row>
    <row r="52" spans="1:13" x14ac:dyDescent="0.25">
      <c r="A52" s="2">
        <v>640</v>
      </c>
      <c r="B52" s="3" t="s">
        <v>65</v>
      </c>
      <c r="C52" s="3" t="s">
        <v>14</v>
      </c>
      <c r="D52" t="e" vm="201">
        <v>#VALUE!</v>
      </c>
      <c r="E52" s="2" cm="1" vm="202">
        <f t="array" aca="1" ref="E52" ca="1">_FV(D52,"Population")</f>
        <v>89137</v>
      </c>
      <c r="F52" s="4" cm="1">
        <f t="array" aca="1" ref="F52" ca="1">_xlfn.IFS(E52&lt;2500,E52/10,AND(E52&gt;=2500,E52&lt;25000),E52/25,AND(E52&gt;=25000,E52&lt;100000),E52/50,AND(E52&gt;=100000,E52&lt;1000000),E52/100,AND(E52&gt;=1000000,E52&lt;2000000),E52/150,AND(E52&gt;=2000000,E52&lt;3000000),E52/200,E52&gt;=3000000,E52/250)</f>
        <v>1782.74</v>
      </c>
      <c r="G52" s="2" t="str" cm="1">
        <f t="array" aca="1" ref="G52" ca="1">IFERROR(_xlfn.IFS(AND(E52&lt;80000,E52&gt;15000),"MEDIUM",E52&gt;80000,"LARGE",E52&lt;15000,"SMALL"),"SMALL")</f>
        <v>LARGE</v>
      </c>
      <c r="H52" s="2" t="str">
        <f t="shared" ca="1" si="0"/>
        <v>false</v>
      </c>
      <c r="I52" s="10" cm="1" vm="203">
        <f t="array" aca="1" ref="I52" ca="1">_FV(D52,"Latitude")</f>
        <v>33.72</v>
      </c>
      <c r="J52" s="10" cm="1" vm="204">
        <f t="array" aca="1" ref="J52" ca="1">_FV(D52,"Longitude")</f>
        <v>-116.23194444444</v>
      </c>
      <c r="K52">
        <v>3130</v>
      </c>
      <c r="L52">
        <v>1758</v>
      </c>
      <c r="M52" s="2" t="s">
        <v>15</v>
      </c>
    </row>
    <row r="53" spans="1:13" x14ac:dyDescent="0.25">
      <c r="A53" s="2">
        <v>643</v>
      </c>
      <c r="B53" s="3" t="s">
        <v>66</v>
      </c>
      <c r="C53" s="3" t="s">
        <v>14</v>
      </c>
      <c r="D53" t="e" vm="205">
        <v>#VALUE!</v>
      </c>
      <c r="E53" s="2" cm="1" vm="206">
        <f t="array" aca="1" ref="E53" ca="1">_FV(D53,"Population")</f>
        <v>107762</v>
      </c>
      <c r="F53" s="4" cm="1">
        <f t="array" aca="1" ref="F53" ca="1">_xlfn.IFS(E53&lt;2500,E53/10,AND(E53&gt;=2500,E53&lt;25000),E53/25,AND(E53&gt;=25000,E53&lt;100000),E53/50,AND(E53&gt;=100000,E53&lt;1000000),E53/100,AND(E53&gt;=1000000,E53&lt;2000000),E53/150,AND(E53&gt;=2000000,E53&lt;3000000),E53/200,E53&gt;=3000000,E53/250)</f>
        <v>1077.6199999999999</v>
      </c>
      <c r="G53" s="2" t="str" cm="1">
        <f t="array" aca="1" ref="G53" ca="1">IFERROR(_xlfn.IFS(AND(E53&lt;80000,E53&gt;15000),"MEDIUM",E53&gt;80000,"LARGE",E53&lt;15000,"SMALL"),"SMALL")</f>
        <v>LARGE</v>
      </c>
      <c r="H53" s="2" t="str">
        <f t="shared" ca="1" si="0"/>
        <v>false</v>
      </c>
      <c r="I53" s="10" cm="1" vm="207">
        <f t="array" aca="1" ref="I53" ca="1">_FV(D53,"Latitude")</f>
        <v>33.957500000000003</v>
      </c>
      <c r="J53" s="10" cm="1" vm="208">
        <f t="array" aca="1" ref="J53" ca="1">_FV(D53,"Longitude")</f>
        <v>-118.34611111111001</v>
      </c>
      <c r="K53">
        <v>3081</v>
      </c>
      <c r="L53">
        <v>1325</v>
      </c>
      <c r="M53" s="2" t="s">
        <v>15</v>
      </c>
    </row>
    <row r="54" spans="1:13" x14ac:dyDescent="0.25">
      <c r="A54" s="2">
        <v>649</v>
      </c>
      <c r="B54" t="s">
        <v>67</v>
      </c>
      <c r="C54" t="s">
        <v>14</v>
      </c>
      <c r="D54" t="e" vm="209">
        <v>#VALUE!</v>
      </c>
      <c r="E54" s="2" cm="1" vm="210">
        <f t="array" aca="1" ref="E54" ca="1">_FV(D54,"Population")</f>
        <v>307670</v>
      </c>
      <c r="F54" s="4" cm="1">
        <f t="array" aca="1" ref="F54" ca="1">_xlfn.IFS(E54&lt;2500,E54/10,AND(E54&gt;=2500,E54&lt;25000),E54/25,AND(E54&gt;=25000,E54&lt;100000),E54/50,AND(E54&gt;=100000,E54&lt;1000000),E54/100,AND(E54&gt;=1000000,E54&lt;2000000),E54/150,AND(E54&gt;=2000000,E54&lt;3000000),E54/200,E54&gt;=3000000,E54/250)</f>
        <v>3076.7</v>
      </c>
      <c r="G54" s="2" t="str" cm="1">
        <f t="array" aca="1" ref="G54" ca="1">IFERROR(_xlfn.IFS(AND(E54&lt;80000,E54&gt;15000),"MEDIUM",E54&gt;80000,"LARGE",E54&lt;15000,"SMALL"),"SMALL")</f>
        <v>LARGE</v>
      </c>
      <c r="H54" s="2" t="str">
        <f t="shared" ca="1" si="0"/>
        <v>true</v>
      </c>
      <c r="I54" s="10" cm="1" vm="211">
        <f t="array" aca="1" ref="I54" ca="1">_FV(D54,"Latitude")</f>
        <v>33.684166666666997</v>
      </c>
      <c r="J54" s="10" cm="1" vm="212">
        <f t="array" aca="1" ref="J54" ca="1">_FV(D54,"Longitude")</f>
        <v>-117.7925</v>
      </c>
      <c r="K54">
        <v>3137</v>
      </c>
      <c r="L54">
        <v>1439</v>
      </c>
      <c r="M54" s="2" t="s">
        <v>15</v>
      </c>
    </row>
    <row r="55" spans="1:13" x14ac:dyDescent="0.25">
      <c r="A55" s="2">
        <v>682</v>
      </c>
      <c r="B55" s="3" t="s">
        <v>68</v>
      </c>
      <c r="C55" s="3" t="s">
        <v>14</v>
      </c>
      <c r="D55" t="e" vm="213">
        <v>#VALUE!</v>
      </c>
      <c r="E55" s="2" cm="1" vm="214">
        <f t="array" aca="1" ref="E55" ca="1">_FV(D55,"Population")</f>
        <v>1242</v>
      </c>
      <c r="F55" s="4" cm="1">
        <f t="array" aca="1" ref="F55" ca="1">_xlfn.IFS(E55&lt;2500,E55/10,AND(E55&gt;=2500,E55&lt;25000),E55/25,AND(E55&gt;=25000,E55&lt;100000),E55/50,AND(E55&gt;=100000,E55&lt;1000000),E55/100,AND(E55&gt;=1000000,E55&lt;2000000),E55/150,AND(E55&gt;=2000000,E55&lt;3000000),E55/200,E55&gt;=3000000,E55/250)</f>
        <v>124.2</v>
      </c>
      <c r="G55" s="2" t="str" cm="1">
        <f t="array" aca="1" ref="G55" ca="1">IFERROR(_xlfn.IFS(AND(E55&lt;80000,E55&gt;15000),"MEDIUM",E55&gt;80000,"LARGE",E55&lt;15000,"SMALL"),"SMALL")</f>
        <v>SMALL</v>
      </c>
      <c r="H55" s="2" t="str">
        <f t="shared" ca="1" si="0"/>
        <v>false</v>
      </c>
      <c r="I55" s="10" cm="1" vm="215">
        <f t="array" aca="1" ref="I55" ca="1">_FV(D55,"Latitude")</f>
        <v>36.008609999999997</v>
      </c>
      <c r="J55" s="10" cm="1" vm="216">
        <f t="array" aca="1" ref="J55" ca="1">_FV(D55,"Longitude")</f>
        <v>-119.96278</v>
      </c>
      <c r="K55">
        <v>2661</v>
      </c>
      <c r="L55">
        <v>994</v>
      </c>
      <c r="M55" s="2" t="s">
        <v>15</v>
      </c>
    </row>
    <row r="56" spans="1:13" x14ac:dyDescent="0.25">
      <c r="A56" s="2">
        <v>684</v>
      </c>
      <c r="B56" s="3" t="s">
        <v>69</v>
      </c>
      <c r="C56" s="3" t="s">
        <v>14</v>
      </c>
      <c r="D56" t="e" vm="217">
        <v>#VALUE!</v>
      </c>
      <c r="E56" s="2" cm="1" vm="218">
        <f t="array" aca="1" ref="E56" ca="1">_FV(D56,"Population")</f>
        <v>13332</v>
      </c>
      <c r="F56" s="4" cm="1">
        <f t="array" aca="1" ref="F56" ca="1">_xlfn.IFS(E56&lt;2500,E56/10,AND(E56&gt;=2500,E56&lt;25000),E56/25,AND(E56&gt;=25000,E56&lt;100000),E56/50,AND(E56&gt;=100000,E56&lt;1000000),E56/100,AND(E56&gt;=1000000,E56&lt;2000000),E56/150,AND(E56&gt;=2000000,E56&lt;3000000),E56/200,E56&gt;=3000000,E56/250)</f>
        <v>533.28</v>
      </c>
      <c r="G56" s="2" t="str" cm="1">
        <f t="array" aca="1" ref="G56" ca="1">IFERROR(_xlfn.IFS(AND(E56&lt;80000,E56&gt;15000),"MEDIUM",E56&gt;80000,"LARGE",E56&lt;15000,"SMALL"),"SMALL")</f>
        <v>SMALL</v>
      </c>
      <c r="H56" s="2" t="str">
        <f t="shared" ca="1" si="0"/>
        <v>false</v>
      </c>
      <c r="I56" s="10" cm="1" vm="219">
        <f t="array" aca="1" ref="I56" ca="1">_FV(D56,"Latitude")</f>
        <v>36.212777777778001</v>
      </c>
      <c r="J56" s="10" cm="1" vm="220">
        <f t="array" aca="1" ref="J56" ca="1">_FV(D56,"Longitude")</f>
        <v>-121.12611111111001</v>
      </c>
      <c r="K56">
        <v>2619</v>
      </c>
      <c r="L56">
        <v>756</v>
      </c>
      <c r="M56" s="2" t="s">
        <v>15</v>
      </c>
    </row>
    <row r="57" spans="1:13" x14ac:dyDescent="0.25">
      <c r="A57" s="2">
        <v>746</v>
      </c>
      <c r="B57" s="3" t="s">
        <v>70</v>
      </c>
      <c r="C57" s="3" t="s">
        <v>14</v>
      </c>
      <c r="D57" t="e" vm="221">
        <v>#VALUE!</v>
      </c>
      <c r="E57" s="2" cm="1" vm="222">
        <f t="array" aca="1" ref="E57" ca="1">_FV(D57,"Population")</f>
        <v>5026</v>
      </c>
      <c r="F57" s="4" cm="1">
        <f t="array" aca="1" ref="F57" ca="1">_xlfn.IFS(E57&lt;2500,E57/10,AND(E57&gt;=2500,E57&lt;25000),E57/25,AND(E57&gt;=25000,E57&lt;100000),E57/50,AND(E57&gt;=100000,E57&lt;1000000),E57/100,AND(E57&gt;=1000000,E57&lt;2000000),E57/150,AND(E57&gt;=2000000,E57&lt;3000000),E57/200,E57&gt;=3000000,E57/250)</f>
        <v>201.04</v>
      </c>
      <c r="G57" s="2" t="str" cm="1">
        <f t="array" aca="1" ref="G57" ca="1">IFERROR(_xlfn.IFS(AND(E57&lt;80000,E57&gt;15000),"MEDIUM",E57&gt;80000,"LARGE",E57&lt;15000,"SMALL"),"SMALL")</f>
        <v>SMALL</v>
      </c>
      <c r="H57" s="2" t="str">
        <f t="shared" ca="1" si="0"/>
        <v>false</v>
      </c>
      <c r="I57" s="10" cm="1" vm="223">
        <f t="array" aca="1" ref="I57" ca="1">_FV(D57,"Latitude")</f>
        <v>39.043055555556002</v>
      </c>
      <c r="J57" s="10" cm="1" vm="224">
        <f t="array" aca="1" ref="J57" ca="1">_FV(D57,"Longitude")</f>
        <v>-122.91583333333</v>
      </c>
      <c r="K57">
        <v>2040</v>
      </c>
      <c r="L57">
        <v>390</v>
      </c>
      <c r="M57" s="2" t="s">
        <v>15</v>
      </c>
    </row>
    <row r="58" spans="1:13" x14ac:dyDescent="0.25">
      <c r="A58" s="2">
        <v>752</v>
      </c>
      <c r="B58" s="3" t="s">
        <v>71</v>
      </c>
      <c r="C58" s="3" t="s">
        <v>14</v>
      </c>
      <c r="D58" t="e" vm="225">
        <v>#VALUE!</v>
      </c>
      <c r="E58" s="2" cm="1" vm="226">
        <f t="array" aca="1" ref="E58" ca="1">_FV(D58,"Population")</f>
        <v>173516</v>
      </c>
      <c r="F58" s="4" cm="1">
        <f t="array" aca="1" ref="F58" ca="1">_xlfn.IFS(E58&lt;2500,E58/10,AND(E58&gt;=2500,E58&lt;25000),E58/25,AND(E58&gt;=25000,E58&lt;100000),E58/50,AND(E58&gt;=100000,E58&lt;1000000),E58/100,AND(E58&gt;=1000000,E58&lt;2000000),E58/150,AND(E58&gt;=2000000,E58&lt;3000000),E58/200,E58&gt;=3000000,E58/250)</f>
        <v>1735.16</v>
      </c>
      <c r="G58" s="2" t="str" cm="1">
        <f t="array" aca="1" ref="G58" ca="1">IFERROR(_xlfn.IFS(AND(E58&lt;80000,E58&gt;15000),"MEDIUM",E58&gt;80000,"LARGE",E58&lt;15000,"SMALL"),"SMALL")</f>
        <v>LARGE</v>
      </c>
      <c r="H58" s="2" t="str">
        <f t="shared" ca="1" si="0"/>
        <v>false</v>
      </c>
      <c r="I58" s="10" cm="1" vm="227">
        <f t="array" aca="1" ref="I58" ca="1">_FV(D58,"Latitude")</f>
        <v>34.686944444444002</v>
      </c>
      <c r="J58" s="10" cm="1" vm="228">
        <f t="array" aca="1" ref="J58" ca="1">_FV(D58,"Longitude")</f>
        <v>-118.15416666666999</v>
      </c>
      <c r="K58">
        <v>2932</v>
      </c>
      <c r="L58">
        <v>1365</v>
      </c>
      <c r="M58" s="2" t="s">
        <v>15</v>
      </c>
    </row>
    <row r="59" spans="1:13" x14ac:dyDescent="0.25">
      <c r="A59" s="2">
        <v>790</v>
      </c>
      <c r="B59" s="3" t="s">
        <v>72</v>
      </c>
      <c r="C59" s="3" t="s">
        <v>14</v>
      </c>
      <c r="D59" t="e" vm="229">
        <v>#VALUE!</v>
      </c>
      <c r="E59" s="2" cm="1" vm="230">
        <f t="array" aca="1" ref="E59" ca="1">_FV(D59,"Population")</f>
        <v>87955</v>
      </c>
      <c r="F59" s="4" cm="1">
        <f t="array" aca="1" ref="F59" ca="1">_xlfn.IFS(E59&lt;2500,E59/10,AND(E59&gt;=2500,E59&lt;25000),E59/25,AND(E59&gt;=25000,E59&lt;100000),E59/50,AND(E59&gt;=100000,E59&lt;1000000),E59/100,AND(E59&gt;=1000000,E59&lt;2000000),E59/150,AND(E59&gt;=2000000,E59&lt;3000000),E59/200,E59&gt;=3000000,E59/250)</f>
        <v>1759.1</v>
      </c>
      <c r="G59" s="2" t="str" cm="1">
        <f t="array" aca="1" ref="G59" ca="1">IFERROR(_xlfn.IFS(AND(E59&lt;80000,E59&gt;15000),"MEDIUM",E59&gt;80000,"LARGE",E59&lt;15000,"SMALL"),"SMALL")</f>
        <v>LARGE</v>
      </c>
      <c r="H59" s="2" t="str">
        <f t="shared" ca="1" si="0"/>
        <v>false</v>
      </c>
      <c r="I59" s="10" cm="1" vm="231">
        <f t="array" aca="1" ref="I59" ca="1">_FV(D59,"Latitude")</f>
        <v>37.685555555556</v>
      </c>
      <c r="J59" s="10" cm="1" vm="232">
        <f t="array" aca="1" ref="J59" ca="1">_FV(D59,"Longitude")</f>
        <v>-121.76416666666999</v>
      </c>
      <c r="K59">
        <v>2318</v>
      </c>
      <c r="L59">
        <v>625</v>
      </c>
      <c r="M59" s="2" t="s">
        <v>15</v>
      </c>
    </row>
    <row r="60" spans="1:13" x14ac:dyDescent="0.25">
      <c r="A60" s="2">
        <v>791</v>
      </c>
      <c r="B60" s="3" t="s">
        <v>73</v>
      </c>
      <c r="C60" s="3" t="s">
        <v>14</v>
      </c>
      <c r="D60" t="e" vm="233">
        <v>#VALUE!</v>
      </c>
      <c r="E60" s="2" cm="1" vm="234">
        <f t="array" aca="1" ref="E60" ca="1">_FV(D60,"Population")</f>
        <v>14172</v>
      </c>
      <c r="F60" s="4" cm="1">
        <f t="array" aca="1" ref="F60" ca="1">_xlfn.IFS(E60&lt;2500,E60/10,AND(E60&gt;=2500,E60&lt;25000),E60/25,AND(E60&gt;=25000,E60&lt;100000),E60/50,AND(E60&gt;=100000,E60&lt;1000000),E60/100,AND(E60&gt;=1000000,E60&lt;2000000),E60/150,AND(E60&gt;=2000000,E60&lt;3000000),E60/200,E60&gt;=3000000,E60/250)</f>
        <v>566.88</v>
      </c>
      <c r="G60" s="2" t="str" cm="1">
        <f t="array" aca="1" ref="G60" ca="1">IFERROR(_xlfn.IFS(AND(E60&lt;80000,E60&gt;15000),"MEDIUM",E60&gt;80000,"LARGE",E60&lt;15000,"SMALL"),"SMALL")</f>
        <v>SMALL</v>
      </c>
      <c r="H60" s="2" t="str">
        <f t="shared" ca="1" si="0"/>
        <v>false</v>
      </c>
      <c r="I60" s="10" cm="1" vm="235">
        <f t="array" aca="1" ref="I60" ca="1">_FV(D60,"Latitude")</f>
        <v>37.386944444443998</v>
      </c>
      <c r="J60" s="10" cm="1" vm="236">
        <f t="array" aca="1" ref="J60" ca="1">_FV(D60,"Longitude")</f>
        <v>-120.72361111111</v>
      </c>
      <c r="K60">
        <v>2379</v>
      </c>
      <c r="L60">
        <v>839</v>
      </c>
      <c r="M60" s="2" t="s">
        <v>15</v>
      </c>
    </row>
    <row r="61" spans="1:13" x14ac:dyDescent="0.25">
      <c r="A61" s="2">
        <v>793</v>
      </c>
      <c r="B61" s="3" t="s">
        <v>74</v>
      </c>
      <c r="C61" s="3" t="s">
        <v>14</v>
      </c>
      <c r="D61" t="e" vm="237">
        <v>#VALUE!</v>
      </c>
      <c r="E61" s="2" cm="1" vm="238">
        <f t="array" aca="1" ref="E61" ca="1">_FV(D61,"Population")</f>
        <v>66348</v>
      </c>
      <c r="F61" s="4" cm="1">
        <f t="array" aca="1" ref="F61" ca="1">_xlfn.IFS(E61&lt;2500,E61/10,AND(E61&gt;=2500,E61&lt;25000),E61/25,AND(E61&gt;=25000,E61&lt;100000),E61/50,AND(E61&gt;=100000,E61&lt;1000000),E61/100,AND(E61&gt;=1000000,E61&lt;2000000),E61/150,AND(E61&gt;=2000000,E61&lt;3000000),E61/200,E61&gt;=3000000,E61/250)</f>
        <v>1326.96</v>
      </c>
      <c r="G61" s="2" t="str" cm="1">
        <f t="array" aca="1" ref="G61" ca="1">IFERROR(_xlfn.IFS(AND(E61&lt;80000,E61&gt;15000),"MEDIUM",E61&gt;80000,"LARGE",E61&lt;15000,"SMALL"),"SMALL")</f>
        <v>MEDIUM</v>
      </c>
      <c r="H61" s="2" t="str">
        <f t="shared" ca="1" si="0"/>
        <v>false</v>
      </c>
      <c r="I61" s="10" cm="1" vm="239">
        <f t="array" aca="1" ref="I61" ca="1">_FV(D61,"Latitude")</f>
        <v>38.128888888889001</v>
      </c>
      <c r="J61" s="10" cm="1" vm="240">
        <f t="array" aca="1" ref="J61" ca="1">_FV(D61,"Longitude")</f>
        <v>-121.28083333332999</v>
      </c>
      <c r="K61">
        <v>2227</v>
      </c>
      <c r="L61">
        <v>724</v>
      </c>
      <c r="M61" s="2" t="s">
        <v>15</v>
      </c>
    </row>
    <row r="62" spans="1:13" x14ac:dyDescent="0.25">
      <c r="A62" s="2">
        <v>803</v>
      </c>
      <c r="B62" s="3" t="s">
        <v>75</v>
      </c>
      <c r="C62" s="3" t="s">
        <v>14</v>
      </c>
      <c r="D62" t="e" vm="241">
        <v>#VALUE!</v>
      </c>
      <c r="E62" s="2" cm="1" vm="242">
        <f t="array" aca="1" ref="E62" ca="1">_FV(D62,"Population")</f>
        <v>2014</v>
      </c>
      <c r="F62" s="4" cm="1">
        <f t="array" aca="1" ref="F62" ca="1">_xlfn.IFS(E62&lt;2500,E62/10,AND(E62&gt;=2500,E62&lt;25000),E62/25,AND(E62&gt;=25000,E62&lt;100000),E62/50,AND(E62&gt;=100000,E62&lt;1000000),E62/100,AND(E62&gt;=1000000,E62&lt;2000000),E62/150,AND(E62&gt;=2000000,E62&lt;3000000),E62/200,E62&gt;=3000000,E62/250)</f>
        <v>201.4</v>
      </c>
      <c r="G62" s="2" t="str" cm="1">
        <f t="array" aca="1" ref="G62" ca="1">IFERROR(_xlfn.IFS(AND(E62&lt;80000,E62&gt;15000),"MEDIUM",E62&gt;80000,"LARGE",E62&lt;15000,"SMALL"),"SMALL")</f>
        <v>SMALL</v>
      </c>
      <c r="H62" s="2" t="str">
        <f t="shared" ca="1" si="0"/>
        <v>false</v>
      </c>
      <c r="I62" s="10" cm="1" vm="243">
        <f t="array" aca="1" ref="I62" ca="1">_FV(D62,"Latitude")</f>
        <v>36.606111111110998</v>
      </c>
      <c r="J62" s="10" cm="1" vm="244">
        <f t="array" aca="1" ref="J62" ca="1">_FV(D62,"Longitude")</f>
        <v>-118.06277777778</v>
      </c>
      <c r="K62">
        <v>2539</v>
      </c>
      <c r="L62">
        <v>1383</v>
      </c>
      <c r="M62" s="2" t="s">
        <v>15</v>
      </c>
    </row>
    <row r="63" spans="1:13" x14ac:dyDescent="0.25">
      <c r="A63" s="2">
        <v>805</v>
      </c>
      <c r="B63" s="3" t="s">
        <v>76</v>
      </c>
      <c r="C63" s="3" t="s">
        <v>14</v>
      </c>
      <c r="D63" t="e" vm="245">
        <v>#VALUE!</v>
      </c>
      <c r="E63" s="2" cm="1" vm="246">
        <f t="array" aca="1" ref="E63" ca="1">_FV(D63,"Population")</f>
        <v>466742</v>
      </c>
      <c r="F63" s="4" cm="1">
        <f t="array" aca="1" ref="F63" ca="1">_xlfn.IFS(E63&lt;2500,E63/10,AND(E63&gt;=2500,E63&lt;25000),E63/25,AND(E63&gt;=25000,E63&lt;100000),E63/50,AND(E63&gt;=100000,E63&lt;1000000),E63/100,AND(E63&gt;=1000000,E63&lt;2000000),E63/150,AND(E63&gt;=2000000,E63&lt;3000000),E63/200,E63&gt;=3000000,E63/250)</f>
        <v>4667.42</v>
      </c>
      <c r="G63" s="2" t="str" cm="1">
        <f t="array" aca="1" ref="G63" ca="1">IFERROR(_xlfn.IFS(AND(E63&lt;80000,E63&gt;15000),"MEDIUM",E63&gt;80000,"LARGE",E63&lt;15000,"SMALL"),"SMALL")</f>
        <v>LARGE</v>
      </c>
      <c r="H63" s="2" t="str">
        <f t="shared" ca="1" si="0"/>
        <v>true</v>
      </c>
      <c r="I63" s="10" cm="1" vm="247">
        <f t="array" aca="1" ref="I63" ca="1">_FV(D63,"Latitude")</f>
        <v>33.768055555555598</v>
      </c>
      <c r="J63" s="10" cm="1" vm="248">
        <f t="array" aca="1" ref="J63" ca="1">_FV(D63,"Longitude")</f>
        <v>-118.195555555556</v>
      </c>
      <c r="K63">
        <v>3120</v>
      </c>
      <c r="L63">
        <v>1356</v>
      </c>
      <c r="M63" s="2" t="s">
        <v>15</v>
      </c>
    </row>
    <row r="64" spans="1:13" x14ac:dyDescent="0.25">
      <c r="A64" s="2">
        <v>812</v>
      </c>
      <c r="B64" s="3" t="s">
        <v>77</v>
      </c>
      <c r="C64" s="3" t="s">
        <v>14</v>
      </c>
      <c r="D64" t="e" vm="249">
        <v>#VALUE!</v>
      </c>
      <c r="E64" s="2" cm="1" vm="250">
        <f t="array" aca="1" ref="E64" ca="1">_FV(D64,"Population")</f>
        <v>3898747</v>
      </c>
      <c r="F64" s="4" cm="1">
        <f t="array" aca="1" ref="F64" ca="1">_xlfn.IFS(E64&lt;2500,E64/10,AND(E64&gt;=2500,E64&lt;25000),E64/25,AND(E64&gt;=25000,E64&lt;100000),E64/50,AND(E64&gt;=100000,E64&lt;1000000),E64/100,AND(E64&gt;=1000000,E64&lt;2000000),E64/150,AND(E64&gt;=2000000,E64&lt;3000000),E64/200,E64&gt;=3000000,E64/250)</f>
        <v>15594.987999999999</v>
      </c>
      <c r="G64" s="2" t="str" cm="1">
        <f t="array" aca="1" ref="G64" ca="1">IFERROR(_xlfn.IFS(AND(E64&lt;80000,E64&gt;15000),"MEDIUM",E64&gt;80000,"LARGE",E64&lt;15000,"SMALL"),"SMALL")</f>
        <v>LARGE</v>
      </c>
      <c r="H64" s="2" t="str">
        <f t="shared" ca="1" si="0"/>
        <v>true</v>
      </c>
      <c r="I64" s="10" cm="1" vm="251">
        <f t="array" aca="1" ref="I64" ca="1">_FV(D64,"Latitude")</f>
        <v>34.052230000000002</v>
      </c>
      <c r="J64" s="10" cm="1" vm="252">
        <f t="array" aca="1" ref="J64" ca="1">_FV(D64,"Longitude")</f>
        <v>-118.24368</v>
      </c>
      <c r="K64">
        <v>3062</v>
      </c>
      <c r="L64">
        <v>1346</v>
      </c>
      <c r="M64" s="2" t="s">
        <v>15</v>
      </c>
    </row>
    <row r="65" spans="1:13" x14ac:dyDescent="0.25">
      <c r="A65" s="2">
        <v>813</v>
      </c>
      <c r="B65" s="3" t="s">
        <v>78</v>
      </c>
      <c r="C65" s="3" t="s">
        <v>14</v>
      </c>
      <c r="D65" t="e" vm="253">
        <v>#VALUE!</v>
      </c>
      <c r="E65" s="2" cm="1" vm="254">
        <f t="array" aca="1" ref="E65" ca="1">_FV(D65,"Population")</f>
        <v>45532</v>
      </c>
      <c r="F65" s="4" cm="1">
        <f t="array" aca="1" ref="F65" ca="1">_xlfn.IFS(E65&lt;2500,E65/10,AND(E65&gt;=2500,E65&lt;25000),E65/25,AND(E65&gt;=25000,E65&lt;100000),E65/50,AND(E65&gt;=100000,E65&lt;1000000),E65/100,AND(E65&gt;=1000000,E65&lt;2000000),E65/150,AND(E65&gt;=2000000,E65&lt;3000000),E65/200,E65&gt;=3000000,E65/250)</f>
        <v>910.64</v>
      </c>
      <c r="G65" s="2" t="str" cm="1">
        <f t="array" aca="1" ref="G65" ca="1">IFERROR(_xlfn.IFS(AND(E65&lt;80000,E65&gt;15000),"MEDIUM",E65&gt;80000,"LARGE",E65&lt;15000,"SMALL"),"SMALL")</f>
        <v>MEDIUM</v>
      </c>
      <c r="H65" s="2" t="str">
        <f t="shared" ref="H65:H128" ca="1" si="1">IFERROR(IF(E65&gt;200000,"true","false"),"false")</f>
        <v>false</v>
      </c>
      <c r="I65" s="10" cm="1" vm="255">
        <f t="array" aca="1" ref="I65" ca="1">_FV(D65,"Latitude")</f>
        <v>37.058333333333003</v>
      </c>
      <c r="J65" s="10" cm="1" vm="256">
        <f t="array" aca="1" ref="J65" ca="1">_FV(D65,"Longitude")</f>
        <v>-120.85</v>
      </c>
      <c r="K65">
        <v>2446</v>
      </c>
      <c r="L65">
        <v>813</v>
      </c>
      <c r="M65" s="2" t="s">
        <v>15</v>
      </c>
    </row>
    <row r="66" spans="1:13" x14ac:dyDescent="0.25">
      <c r="A66" s="2">
        <v>834</v>
      </c>
      <c r="B66" s="3" t="s">
        <v>79</v>
      </c>
      <c r="C66" s="3" t="s">
        <v>14</v>
      </c>
      <c r="D66" t="e" vm="257">
        <v>#VALUE!</v>
      </c>
      <c r="E66" s="2" cm="1" vm="258">
        <f t="array" aca="1" ref="E66" ca="1">_FV(D66,"Population")</f>
        <v>66224</v>
      </c>
      <c r="F66" s="4" cm="1">
        <f t="array" aca="1" ref="F66" ca="1">_xlfn.IFS(E66&lt;2500,E66/10,AND(E66&gt;=2500,E66&lt;25000),E66/25,AND(E66&gt;=25000,E66&lt;100000),E66/50,AND(E66&gt;=100000,E66&lt;1000000),E66/100,AND(E66&gt;=1000000,E66&lt;2000000),E66/150,AND(E66&gt;=2000000,E66&lt;3000000),E66/200,E66&gt;=3000000,E66/250)</f>
        <v>1324.48</v>
      </c>
      <c r="G66" s="2" t="str" cm="1">
        <f t="array" aca="1" ref="G66" ca="1">IFERROR(_xlfn.IFS(AND(E66&lt;80000,E66&gt;15000),"MEDIUM",E66&gt;80000,"LARGE",E66&lt;15000,"SMALL"),"SMALL")</f>
        <v>MEDIUM</v>
      </c>
      <c r="H66" s="2" t="str">
        <f t="shared" ca="1" si="1"/>
        <v>false</v>
      </c>
      <c r="I66" s="10" cm="1" vm="259">
        <f t="array" aca="1" ref="I66" ca="1">_FV(D66,"Latitude")</f>
        <v>36.961388888888997</v>
      </c>
      <c r="J66" s="10" cm="1" vm="260">
        <f t="array" aca="1" ref="J66" ca="1">_FV(D66,"Longitude")</f>
        <v>-120.06083333333</v>
      </c>
      <c r="K66">
        <v>2466</v>
      </c>
      <c r="L66">
        <v>974</v>
      </c>
      <c r="M66" s="2" t="s">
        <v>15</v>
      </c>
    </row>
    <row r="67" spans="1:13" x14ac:dyDescent="0.25">
      <c r="A67" s="2">
        <v>850</v>
      </c>
      <c r="B67" s="3" t="s">
        <v>80</v>
      </c>
      <c r="C67" s="3" t="s">
        <v>14</v>
      </c>
      <c r="D67" t="e" vm="261">
        <v>#VALUE!</v>
      </c>
      <c r="E67" s="2" cm="1" vm="262">
        <f t="array" aca="1" ref="E67" ca="1">_FV(D67,"Population")</f>
        <v>1526</v>
      </c>
      <c r="F67" s="4" cm="1">
        <f t="array" aca="1" ref="F67" ca="1">_xlfn.IFS(E67&lt;2500,E67/10,AND(E67&gt;=2500,E67&lt;25000),E67/25,AND(E67&gt;=25000,E67&lt;100000),E67/50,AND(E67&gt;=100000,E67&lt;1000000),E67/100,AND(E67&gt;=1000000,E67&lt;2000000),E67/150,AND(E67&gt;=2000000,E67&lt;3000000),E67/200,E67&gt;=3000000,E67/250)</f>
        <v>152.6</v>
      </c>
      <c r="G67" s="2" t="str" cm="1">
        <f t="array" aca="1" ref="G67" ca="1">IFERROR(_xlfn.IFS(AND(E67&lt;80000,E67&gt;15000),"MEDIUM",E67&gt;80000,"LARGE",E67&lt;15000,"SMALL"),"SMALL")</f>
        <v>SMALL</v>
      </c>
      <c r="H67" s="2" t="str">
        <f t="shared" ca="1" si="1"/>
        <v>false</v>
      </c>
      <c r="I67" s="10" cm="1" vm="263">
        <f t="array" aca="1" ref="I67" ca="1">_FV(D67,"Latitude")</f>
        <v>37.487220000000001</v>
      </c>
      <c r="J67" s="10" cm="1" vm="264">
        <f t="array" aca="1" ref="J67" ca="1">_FV(D67,"Longitude")</f>
        <v>-119.96832999999999</v>
      </c>
      <c r="K67">
        <v>2358</v>
      </c>
      <c r="L67">
        <v>993</v>
      </c>
      <c r="M67" s="2" t="s">
        <v>15</v>
      </c>
    </row>
    <row r="68" spans="1:13" x14ac:dyDescent="0.25">
      <c r="A68" s="2">
        <v>857</v>
      </c>
      <c r="B68" s="3" t="s">
        <v>81</v>
      </c>
      <c r="C68" s="3" t="s">
        <v>14</v>
      </c>
      <c r="D68" t="e" vm="265">
        <v>#VALUE!</v>
      </c>
      <c r="E68" s="2" cm="1" vm="266">
        <f t="array" aca="1" ref="E68" ca="1">_FV(D68,"Population")</f>
        <v>1067</v>
      </c>
      <c r="F68" s="4" cm="1">
        <f t="array" aca="1" ref="F68" ca="1">_xlfn.IFS(E68&lt;2500,E68/10,AND(E68&gt;=2500,E68&lt;25000),E68/25,AND(E68&gt;=25000,E68&lt;100000),E68/50,AND(E68&gt;=100000,E68&lt;1000000),E68/100,AND(E68&gt;=1000000,E68&lt;2000000),E68/150,AND(E68&gt;=2000000,E68&lt;3000000),E68/200,E68&gt;=3000000,E68/250)</f>
        <v>106.7</v>
      </c>
      <c r="G68" s="2" t="str" cm="1">
        <f t="array" aca="1" ref="G68" ca="1">IFERROR(_xlfn.IFS(AND(E68&lt;80000,E68&gt;15000),"MEDIUM",E68&gt;80000,"LARGE",E68&lt;15000,"SMALL"),"SMALL")</f>
        <v>SMALL</v>
      </c>
      <c r="H68" s="2" t="str">
        <f t="shared" ca="1" si="1"/>
        <v>false</v>
      </c>
      <c r="I68" s="10" cm="1" vm="267">
        <f t="array" aca="1" ref="I68" ca="1">_FV(D68,"Latitude")</f>
        <v>39.276388888889002</v>
      </c>
      <c r="J68" s="10" cm="1" vm="268">
        <f t="array" aca="1" ref="J68" ca="1">_FV(D68,"Longitude")</f>
        <v>-122.19138888889</v>
      </c>
      <c r="K68">
        <v>1992</v>
      </c>
      <c r="L68">
        <v>538</v>
      </c>
      <c r="M68" s="2" t="s">
        <v>15</v>
      </c>
    </row>
    <row r="69" spans="1:13" x14ac:dyDescent="0.25">
      <c r="A69" s="2">
        <v>875</v>
      </c>
      <c r="B69" s="3" t="s">
        <v>82</v>
      </c>
      <c r="C69" s="3" t="s">
        <v>14</v>
      </c>
      <c r="D69" t="e" vm="269">
        <v>#VALUE!</v>
      </c>
      <c r="E69" s="2" cm="1" vm="270">
        <f t="array" aca="1" ref="E69" ca="1">_FV(D69,"Population")</f>
        <v>932</v>
      </c>
      <c r="F69" s="4" cm="1">
        <f t="array" aca="1" ref="F69" ca="1">_xlfn.IFS(E69&lt;2500,E69/10,AND(E69&gt;=2500,E69&lt;25000),E69/25,AND(E69&gt;=25000,E69&lt;100000),E69/50,AND(E69&gt;=100000,E69&lt;1000000),E69/100,AND(E69&gt;=1000000,E69&lt;2000000),E69/150,AND(E69&gt;=2000000,E69&lt;3000000),E69/200,E69&gt;=3000000,E69/250)</f>
        <v>93.2</v>
      </c>
      <c r="G69" s="2" t="str" cm="1">
        <f t="array" aca="1" ref="G69" ca="1">IFERROR(_xlfn.IFS(AND(E69&lt;80000,E69&gt;15000),"MEDIUM",E69&gt;80000,"LARGE",E69&lt;15000,"SMALL"),"SMALL")</f>
        <v>SMALL</v>
      </c>
      <c r="H69" s="2" t="str">
        <f t="shared" ca="1" si="1"/>
        <v>false</v>
      </c>
      <c r="I69" s="10" cm="1" vm="271">
        <f t="array" aca="1" ref="I69" ca="1">_FV(D69,"Latitude")</f>
        <v>39.308055555556003</v>
      </c>
      <c r="J69" s="10" cm="1" vm="272">
        <f t="array" aca="1" ref="J69" ca="1">_FV(D69,"Longitude")</f>
        <v>-123.79611111110999</v>
      </c>
      <c r="K69">
        <v>1985</v>
      </c>
      <c r="L69">
        <v>209</v>
      </c>
      <c r="M69" s="2" t="s">
        <v>15</v>
      </c>
    </row>
    <row r="70" spans="1:13" x14ac:dyDescent="0.25">
      <c r="A70" s="2">
        <v>880</v>
      </c>
      <c r="B70" t="s">
        <v>83</v>
      </c>
      <c r="C70" t="s">
        <v>14</v>
      </c>
      <c r="D70" t="e" vm="273">
        <v>#VALUE!</v>
      </c>
      <c r="E70" s="2" cm="1" vm="274">
        <f t="array" aca="1" ref="E70" ca="1">_FV(D70,"Population")</f>
        <v>86333</v>
      </c>
      <c r="F70" s="4" cm="1">
        <f t="array" aca="1" ref="F70" ca="1">_xlfn.IFS(E70&lt;2500,E70/10,AND(E70&gt;=2500,E70&lt;25000),E70/25,AND(E70&gt;=25000,E70&lt;100000),E70/50,AND(E70&gt;=100000,E70&lt;1000000),E70/100,AND(E70&gt;=1000000,E70&lt;2000000),E70/150,AND(E70&gt;=2000000,E70&lt;3000000),E70/200,E70&gt;=3000000,E70/250)</f>
        <v>1726.66</v>
      </c>
      <c r="G70" s="2" t="str" cm="1">
        <f t="array" aca="1" ref="G70" ca="1">IFERROR(_xlfn.IFS(AND(E70&lt;80000,E70&gt;15000),"MEDIUM",E70&gt;80000,"LARGE",E70&lt;15000,"SMALL"),"SMALL")</f>
        <v>LARGE</v>
      </c>
      <c r="H70" s="2" t="str">
        <f t="shared" ca="1" si="1"/>
        <v>false</v>
      </c>
      <c r="I70" s="10" cm="1" vm="275">
        <f t="array" aca="1" ref="I70" ca="1">_FV(D70,"Latitude")</f>
        <v>37.302222222221999</v>
      </c>
      <c r="J70" s="10" cm="1" vm="276">
        <f t="array" aca="1" ref="J70" ca="1">_FV(D70,"Longitude")</f>
        <v>-120.48305555556</v>
      </c>
      <c r="K70">
        <v>2396</v>
      </c>
      <c r="L70">
        <v>888</v>
      </c>
      <c r="M70" s="2" t="s">
        <v>15</v>
      </c>
    </row>
    <row r="71" spans="1:13" x14ac:dyDescent="0.25">
      <c r="A71" s="2">
        <v>903</v>
      </c>
      <c r="B71" s="3" t="s">
        <v>84</v>
      </c>
      <c r="C71" s="3" t="s">
        <v>14</v>
      </c>
      <c r="D71" t="e" vm="277">
        <v>#VALUE!</v>
      </c>
      <c r="E71" s="2" cm="1" vm="278">
        <f t="array" aca="1" ref="E71" ca="1">_FV(D71,"Population")</f>
        <v>218464</v>
      </c>
      <c r="F71" s="4" cm="1">
        <f t="array" aca="1" ref="F71" ca="1">_xlfn.IFS(E71&lt;2500,E71/10,AND(E71&gt;=2500,E71&lt;25000),E71/25,AND(E71&gt;=25000,E71&lt;100000),E71/50,AND(E71&gt;=100000,E71&lt;1000000),E71/100,AND(E71&gt;=1000000,E71&lt;2000000),E71/150,AND(E71&gt;=2000000,E71&lt;3000000),E71/200,E71&gt;=3000000,E71/250)</f>
        <v>2184.64</v>
      </c>
      <c r="G71" s="2" t="str" cm="1">
        <f t="array" aca="1" ref="G71" ca="1">IFERROR(_xlfn.IFS(AND(E71&lt;80000,E71&gt;15000),"MEDIUM",E71&gt;80000,"LARGE",E71&lt;15000,"SMALL"),"SMALL")</f>
        <v>LARGE</v>
      </c>
      <c r="H71" s="2" t="str">
        <f t="shared" ca="1" si="1"/>
        <v>true</v>
      </c>
      <c r="I71" s="10" cm="1" vm="279">
        <f t="array" aca="1" ref="I71" ca="1">_FV(D71,"Latitude")</f>
        <v>37.661388888889</v>
      </c>
      <c r="J71" s="10" cm="1" vm="280">
        <f t="array" aca="1" ref="J71" ca="1">_FV(D71,"Longitude")</f>
        <v>-120.99444444444001</v>
      </c>
      <c r="K71">
        <v>2323</v>
      </c>
      <c r="L71">
        <v>783</v>
      </c>
      <c r="M71" s="2" t="s">
        <v>15</v>
      </c>
    </row>
    <row r="72" spans="1:13" x14ac:dyDescent="0.25">
      <c r="A72" s="2">
        <v>905</v>
      </c>
      <c r="B72" s="3" t="s">
        <v>85</v>
      </c>
      <c r="C72" s="3" t="s">
        <v>14</v>
      </c>
      <c r="D72" t="e" vm="281">
        <v>#VALUE!</v>
      </c>
      <c r="E72" s="2" cm="1" vm="282">
        <f t="array" aca="1" ref="E72" ca="1">_FV(D72,"Population")</f>
        <v>4699</v>
      </c>
      <c r="F72" s="4" cm="1">
        <f t="array" aca="1" ref="F72" ca="1">_xlfn.IFS(E72&lt;2500,E72/10,AND(E72&gt;=2500,E72&lt;25000),E72/25,AND(E72&gt;=25000,E72&lt;100000),E72/50,AND(E72&gt;=100000,E72&lt;1000000),E72/100,AND(E72&gt;=1000000,E72&lt;2000000),E72/150,AND(E72&gt;=2000000,E72&lt;3000000),E72/200,E72&gt;=3000000,E72/250)</f>
        <v>187.96</v>
      </c>
      <c r="G72" s="2" t="str" cm="1">
        <f t="array" aca="1" ref="G72" ca="1">IFERROR(_xlfn.IFS(AND(E72&lt;80000,E72&gt;15000),"MEDIUM",E72&gt;80000,"LARGE",E72&lt;15000,"SMALL"),"SMALL")</f>
        <v>SMALL</v>
      </c>
      <c r="H72" s="2" t="str">
        <f t="shared" ca="1" si="1"/>
        <v>false</v>
      </c>
      <c r="I72" s="10" cm="1" vm="283">
        <f t="array" aca="1" ref="I72" ca="1">_FV(D72,"Latitude")</f>
        <v>35.016669999999998</v>
      </c>
      <c r="J72" s="10" cm="1" vm="284">
        <f t="array" aca="1" ref="J72" ca="1">_FV(D72,"Longitude")</f>
        <v>-118.18889</v>
      </c>
      <c r="K72">
        <v>2864</v>
      </c>
      <c r="L72">
        <v>1358</v>
      </c>
      <c r="M72" s="2" t="s">
        <v>15</v>
      </c>
    </row>
    <row r="73" spans="1:13" x14ac:dyDescent="0.25">
      <c r="A73" s="2">
        <v>907</v>
      </c>
      <c r="B73" t="s">
        <v>86</v>
      </c>
      <c r="C73" t="s">
        <v>14</v>
      </c>
      <c r="D73" t="e" vm="285">
        <v>#VALUE!</v>
      </c>
      <c r="E73" s="2" cm="1" vm="286">
        <f t="array" aca="1" ref="E73" ca="1">_FV(D73,"Population")</f>
        <v>7191</v>
      </c>
      <c r="F73" s="4" cm="1">
        <f t="array" aca="1" ref="F73" ca="1">_xlfn.IFS(E73&lt;2500,E73/10,AND(E73&gt;=2500,E73&lt;25000),E73/25,AND(E73&gt;=25000,E73&lt;100000),E73/50,AND(E73&gt;=100000,E73&lt;1000000),E73/100,AND(E73&gt;=1000000,E73&lt;2000000),E73/150,AND(E73&gt;=2000000,E73&lt;3000000),E73/200,E73&gt;=3000000,E73/250)</f>
        <v>287.64</v>
      </c>
      <c r="G73" s="2" t="str" cm="1">
        <f t="array" aca="1" ref="G73" ca="1">IFERROR(_xlfn.IFS(AND(E73&lt;80000,E73&gt;15000),"MEDIUM",E73&gt;80000,"LARGE",E73&lt;15000,"SMALL"),"SMALL")</f>
        <v>SMALL</v>
      </c>
      <c r="H73" s="2" t="str">
        <f t="shared" ca="1" si="1"/>
        <v>false</v>
      </c>
      <c r="I73" s="10" cm="1" vm="287">
        <f t="array" aca="1" ref="I73" ca="1">_FV(D73,"Latitude")</f>
        <v>37.648611111111002</v>
      </c>
      <c r="J73" s="10" cm="1" vm="288">
        <f t="array" aca="1" ref="J73" ca="1">_FV(D73,"Longitude")</f>
        <v>-118.97194444444</v>
      </c>
      <c r="K73">
        <v>2325</v>
      </c>
      <c r="L73">
        <v>1197</v>
      </c>
      <c r="M73" s="2" t="s">
        <v>15</v>
      </c>
    </row>
    <row r="74" spans="1:13" x14ac:dyDescent="0.25">
      <c r="A74" s="2">
        <v>921</v>
      </c>
      <c r="B74" s="3" t="s">
        <v>87</v>
      </c>
      <c r="C74" s="3" t="s">
        <v>14</v>
      </c>
      <c r="D74" t="e" vm="289">
        <v>#VALUE!</v>
      </c>
      <c r="E74" s="2" cm="1" vm="290">
        <f t="array" aca="1" ref="E74" ca="1">_FV(D74,"Population")</f>
        <v>30218</v>
      </c>
      <c r="F74" s="4" cm="1">
        <f t="array" aca="1" ref="F74" ca="1">_xlfn.IFS(E74&lt;2500,E74/10,AND(E74&gt;=2500,E74&lt;25000),E74/25,AND(E74&gt;=25000,E74&lt;100000),E74/50,AND(E74&gt;=100000,E74&lt;1000000),E74/100,AND(E74&gt;=1000000,E74&lt;2000000),E74/150,AND(E74&gt;=2000000,E74&lt;3000000),E74/200,E74&gt;=3000000,E74/250)</f>
        <v>604.36</v>
      </c>
      <c r="G74" s="2" t="str" cm="1">
        <f t="array" aca="1" ref="G74" ca="1">IFERROR(_xlfn.IFS(AND(E74&lt;80000,E74&gt;15000),"MEDIUM",E74&gt;80000,"LARGE",E74&lt;15000,"SMALL"),"SMALL")</f>
        <v>MEDIUM</v>
      </c>
      <c r="H74" s="2" t="str">
        <f t="shared" ca="1" si="1"/>
        <v>false</v>
      </c>
      <c r="I74" s="10" cm="1" vm="291">
        <f t="array" aca="1" ref="I74" ca="1">_FV(D74,"Latitude")</f>
        <v>36.600239999999999</v>
      </c>
      <c r="J74" s="10" cm="1" vm="292">
        <f t="array" aca="1" ref="J74" ca="1">_FV(D74,"Longitude")</f>
        <v>-121.89467999999999</v>
      </c>
      <c r="K74">
        <v>2540</v>
      </c>
      <c r="L74">
        <v>599</v>
      </c>
      <c r="M74" s="2" t="s">
        <v>15</v>
      </c>
    </row>
    <row r="75" spans="1:13" x14ac:dyDescent="0.25">
      <c r="A75" s="2">
        <v>931</v>
      </c>
      <c r="B75" s="3" t="s">
        <v>88</v>
      </c>
      <c r="C75" s="3" t="s">
        <v>14</v>
      </c>
      <c r="D75" t="e" vm="293">
        <v>#VALUE!</v>
      </c>
      <c r="E75" s="2" cm="1" vm="294">
        <f t="array" aca="1" ref="E75" ca="1">_FV(D75,"Population")</f>
        <v>10757</v>
      </c>
      <c r="F75" s="4" cm="1">
        <f t="array" aca="1" ref="F75" ca="1">_xlfn.IFS(E75&lt;2500,E75/10,AND(E75&gt;=2500,E75&lt;25000),E75/25,AND(E75&gt;=25000,E75&lt;100000),E75/50,AND(E75&gt;=100000,E75&lt;1000000),E75/100,AND(E75&gt;=1000000,E75&lt;2000000),E75/150,AND(E75&gt;=2000000,E75&lt;3000000),E75/200,E75&gt;=3000000,E75/250)</f>
        <v>430.28</v>
      </c>
      <c r="G75" s="2" t="str" cm="1">
        <f t="array" aca="1" ref="G75" ca="1">IFERROR(_xlfn.IFS(AND(E75&lt;80000,E75&gt;15000),"MEDIUM",E75&gt;80000,"LARGE",E75&lt;15000,"SMALL"),"SMALL")</f>
        <v>SMALL</v>
      </c>
      <c r="H75" s="2" t="str">
        <f t="shared" ca="1" si="1"/>
        <v>false</v>
      </c>
      <c r="I75" s="10" cm="1" vm="295">
        <f t="array" aca="1" ref="I75" ca="1">_FV(D75,"Latitude")</f>
        <v>35.379166666666997</v>
      </c>
      <c r="J75" s="10" cm="1" vm="296">
        <f t="array" aca="1" ref="J75" ca="1">_FV(D75,"Longitude")</f>
        <v>-120.85333333333</v>
      </c>
      <c r="K75">
        <v>2790</v>
      </c>
      <c r="L75">
        <v>812</v>
      </c>
      <c r="M75" s="2" t="s">
        <v>15</v>
      </c>
    </row>
    <row r="76" spans="1:13" x14ac:dyDescent="0.25">
      <c r="A76" s="2">
        <v>940</v>
      </c>
      <c r="B76" s="3" t="s">
        <v>89</v>
      </c>
      <c r="C76" s="3" t="s">
        <v>14</v>
      </c>
      <c r="D76" t="e" vm="297">
        <v>#VALUE!</v>
      </c>
      <c r="E76" s="2" cm="1" vm="298">
        <f t="array" aca="1" ref="E76" ca="1">_FV(D76,"Population")</f>
        <v>3223</v>
      </c>
      <c r="F76" s="4" cm="1">
        <f t="array" aca="1" ref="F76" ca="1">_xlfn.IFS(E76&lt;2500,E76/10,AND(E76&gt;=2500,E76&lt;25000),E76/25,AND(E76&gt;=25000,E76&lt;100000),E76/50,AND(E76&gt;=100000,E76&lt;1000000),E76/100,AND(E76&gt;=1000000,E76&lt;2000000),E76/150,AND(E76&gt;=2000000,E76&lt;3000000),E76/200,E76&gt;=3000000,E76/250)</f>
        <v>128.91999999999999</v>
      </c>
      <c r="G76" s="2" t="str" cm="1">
        <f t="array" aca="1" ref="G76" ca="1">IFERROR(_xlfn.IFS(AND(E76&lt;80000,E76&gt;15000),"MEDIUM",E76&gt;80000,"LARGE",E76&lt;15000,"SMALL"),"SMALL")</f>
        <v>SMALL</v>
      </c>
      <c r="H76" s="2" t="str">
        <f t="shared" ca="1" si="1"/>
        <v>false</v>
      </c>
      <c r="I76" s="10" cm="1" vm="299">
        <f t="array" aca="1" ref="I76" ca="1">_FV(D76,"Latitude")</f>
        <v>41.314444444444</v>
      </c>
      <c r="J76" s="10" cm="1" vm="300">
        <f t="array" aca="1" ref="J76" ca="1">_FV(D76,"Longitude")</f>
        <v>-122.31138888888999</v>
      </c>
      <c r="K76">
        <v>1575</v>
      </c>
      <c r="L76">
        <v>513</v>
      </c>
      <c r="M76" s="2" t="s">
        <v>15</v>
      </c>
    </row>
    <row r="77" spans="1:13" x14ac:dyDescent="0.25">
      <c r="A77" s="2">
        <v>955</v>
      </c>
      <c r="B77" s="3" t="s">
        <v>90</v>
      </c>
      <c r="C77" s="3" t="s">
        <v>14</v>
      </c>
      <c r="D77" t="e" vm="301">
        <v>#VALUE!</v>
      </c>
      <c r="E77" s="2" cm="1" vm="302">
        <f t="array" aca="1" ref="E77" ca="1">_FV(D77,"Population")</f>
        <v>79246</v>
      </c>
      <c r="F77" s="4" cm="1">
        <f t="array" aca="1" ref="F77" ca="1">_xlfn.IFS(E77&lt;2500,E77/10,AND(E77&gt;=2500,E77&lt;25000),E77/25,AND(E77&gt;=25000,E77&lt;100000),E77/50,AND(E77&gt;=100000,E77&lt;1000000),E77/100,AND(E77&gt;=1000000,E77&lt;2000000),E77/150,AND(E77&gt;=2000000,E77&lt;3000000),E77/200,E77&gt;=3000000,E77/250)</f>
        <v>1584.92</v>
      </c>
      <c r="G77" s="2" t="str" cm="1">
        <f t="array" aca="1" ref="G77" ca="1">IFERROR(_xlfn.IFS(AND(E77&lt;80000,E77&gt;15000),"MEDIUM",E77&gt;80000,"LARGE",E77&lt;15000,"SMALL"),"SMALL")</f>
        <v>MEDIUM</v>
      </c>
      <c r="H77" s="2" t="str">
        <f t="shared" ca="1" si="1"/>
        <v>false</v>
      </c>
      <c r="I77" s="10" cm="1" vm="303">
        <f t="array" aca="1" ref="I77" ca="1">_FV(D77,"Latitude")</f>
        <v>38.299999999999997</v>
      </c>
      <c r="J77" s="10" cm="1" vm="304">
        <f t="array" aca="1" ref="J77" ca="1">_FV(D77,"Longitude")</f>
        <v>-122.3</v>
      </c>
      <c r="K77">
        <v>2192</v>
      </c>
      <c r="L77">
        <v>516</v>
      </c>
      <c r="M77" s="2" t="s">
        <v>15</v>
      </c>
    </row>
    <row r="78" spans="1:13" x14ac:dyDescent="0.25">
      <c r="A78" s="2">
        <v>1000</v>
      </c>
      <c r="B78" s="3" t="s">
        <v>91</v>
      </c>
      <c r="C78" s="3" t="s">
        <v>14</v>
      </c>
      <c r="D78" t="e" vm="305">
        <v>#VALUE!</v>
      </c>
      <c r="E78" s="2" cm="1" vm="306">
        <f t="array" aca="1" ref="E78" ca="1">_FV(D78,"Population")</f>
        <v>5945</v>
      </c>
      <c r="F78" s="4" cm="1">
        <f t="array" aca="1" ref="F78" ca="1">_xlfn.IFS(E78&lt;2500,E78/10,AND(E78&gt;=2500,E78&lt;25000),E78/25,AND(E78&gt;=25000,E78&lt;100000),E78/50,AND(E78&gt;=100000,E78&lt;1000000),E78/100,AND(E78&gt;=1000000,E78&lt;2000000),E78/150,AND(E78&gt;=2000000,E78&lt;3000000),E78/200,E78&gt;=3000000,E78/250)</f>
        <v>237.8</v>
      </c>
      <c r="G78" s="2" t="str" cm="1">
        <f t="array" aca="1" ref="G78" ca="1">IFERROR(_xlfn.IFS(AND(E78&lt;80000,E78&gt;15000),"MEDIUM",E78&gt;80000,"LARGE",E78&lt;15000,"SMALL"),"SMALL")</f>
        <v>SMALL</v>
      </c>
      <c r="H78" s="2" t="str">
        <f t="shared" ca="1" si="1"/>
        <v>false</v>
      </c>
      <c r="I78" s="10" cm="1" vm="307">
        <f t="array" aca="1" ref="I78" ca="1">_FV(D78,"Latitude")</f>
        <v>37.331389999999999</v>
      </c>
      <c r="J78" s="10" cm="1" vm="308">
        <f t="array" aca="1" ref="J78" ca="1">_FV(D78,"Longitude")</f>
        <v>-119.64778</v>
      </c>
      <c r="K78">
        <v>2390</v>
      </c>
      <c r="L78">
        <v>1059</v>
      </c>
      <c r="M78" s="2" t="s">
        <v>15</v>
      </c>
    </row>
    <row r="79" spans="1:13" x14ac:dyDescent="0.25">
      <c r="A79" s="2">
        <v>1001</v>
      </c>
      <c r="B79" s="3" t="s">
        <v>92</v>
      </c>
      <c r="C79" s="3" t="s">
        <v>14</v>
      </c>
      <c r="D79" t="e" vm="309">
        <v>#VALUE!</v>
      </c>
      <c r="E79" s="2" cm="1" vm="310">
        <f t="array" aca="1" ref="E79" ca="1">_FV(D79,"Population")</f>
        <v>440646</v>
      </c>
      <c r="F79" s="4" cm="1">
        <f t="array" aca="1" ref="F79" ca="1">_xlfn.IFS(E79&lt;2500,E79/10,AND(E79&gt;=2500,E79&lt;25000),E79/25,AND(E79&gt;=25000,E79&lt;100000),E79/50,AND(E79&gt;=100000,E79&lt;1000000),E79/100,AND(E79&gt;=1000000,E79&lt;2000000),E79/150,AND(E79&gt;=2000000,E79&lt;3000000),E79/200,E79&gt;=3000000,E79/250)</f>
        <v>4406.46</v>
      </c>
      <c r="G79" s="2" t="str" cm="1">
        <f t="array" aca="1" ref="G79" ca="1">IFERROR(_xlfn.IFS(AND(E79&lt;80000,E79&gt;15000),"MEDIUM",E79&gt;80000,"LARGE",E79&lt;15000,"SMALL"),"SMALL")</f>
        <v>LARGE</v>
      </c>
      <c r="H79" s="2" t="str">
        <f t="shared" ca="1" si="1"/>
        <v>true</v>
      </c>
      <c r="I79" s="10" cm="1" vm="311">
        <f t="array" aca="1" ref="I79" ca="1">_FV(D79,"Latitude")</f>
        <v>37.799999999999997</v>
      </c>
      <c r="J79" s="10" cm="1" vm="312">
        <f t="array" aca="1" ref="J79" ca="1">_FV(D79,"Longitude")</f>
        <v>-122.25</v>
      </c>
      <c r="K79">
        <v>2294</v>
      </c>
      <c r="L79">
        <v>526</v>
      </c>
      <c r="M79" s="2" t="s">
        <v>15</v>
      </c>
    </row>
    <row r="80" spans="1:13" x14ac:dyDescent="0.25">
      <c r="A80" s="2">
        <v>1007</v>
      </c>
      <c r="B80" s="8" t="s">
        <v>93</v>
      </c>
      <c r="C80" s="3" t="s">
        <v>14</v>
      </c>
      <c r="D80" t="e" vm="313">
        <v>#VALUE!</v>
      </c>
      <c r="E80" s="2" cm="1" vm="314">
        <f t="array" aca="1" ref="E80" ca="1">_FV(D80,"Population")</f>
        <v>174068</v>
      </c>
      <c r="F80" s="4" cm="1">
        <f t="array" aca="1" ref="F80" ca="1">_xlfn.IFS(E80&lt;2500,E80/10,AND(E80&gt;=2500,E80&lt;25000),E80/25,AND(E80&gt;=25000,E80&lt;100000),E80/50,AND(E80&gt;=100000,E80&lt;1000000),E80/100,AND(E80&gt;=1000000,E80&lt;2000000),E80/150,AND(E80&gt;=2000000,E80&lt;3000000),E80/200,E80&gt;=3000000,E80/250)</f>
        <v>1740.68</v>
      </c>
      <c r="G80" s="2" t="str" cm="1">
        <f t="array" aca="1" ref="G80" ca="1">IFERROR(_xlfn.IFS(AND(E80&lt;80000,E80&gt;15000),"MEDIUM",E80&gt;80000,"LARGE",E80&lt;15000,"SMALL"),"SMALL")</f>
        <v>LARGE</v>
      </c>
      <c r="H80" s="2" t="str">
        <f t="shared" ca="1" si="1"/>
        <v>false</v>
      </c>
      <c r="I80" s="10" cm="1" vm="315">
        <f t="array" aca="1" ref="I80" ca="1">_FV(D80,"Latitude")</f>
        <v>33.211666666667</v>
      </c>
      <c r="J80" s="10" cm="1" vm="316">
        <f t="array" aca="1" ref="J80" ca="1">_FV(D80,"Longitude")</f>
        <v>-117.32583333333</v>
      </c>
      <c r="K80" s="9">
        <v>3234</v>
      </c>
      <c r="L80" s="9">
        <v>1534</v>
      </c>
      <c r="M80" s="2" t="s">
        <v>15</v>
      </c>
    </row>
    <row r="81" spans="1:13" x14ac:dyDescent="0.25">
      <c r="A81" s="2">
        <v>1019</v>
      </c>
      <c r="B81" s="3" t="s">
        <v>94</v>
      </c>
      <c r="C81" s="3" t="s">
        <v>14</v>
      </c>
      <c r="D81" t="e" vm="317">
        <v>#VALUE!</v>
      </c>
      <c r="E81" s="2" cm="1" vm="318">
        <f t="array" aca="1" ref="E81" ca="1">_FV(D81,"Population")</f>
        <v>175265</v>
      </c>
      <c r="F81" s="4" cm="1">
        <f t="array" aca="1" ref="F81" ca="1">_xlfn.IFS(E81&lt;2500,E81/10,AND(E81&gt;=2500,E81&lt;25000),E81/25,AND(E81&gt;=25000,E81&lt;100000),E81/50,AND(E81&gt;=100000,E81&lt;1000000),E81/100,AND(E81&gt;=1000000,E81&lt;2000000),E81/150,AND(E81&gt;=2000000,E81&lt;3000000),E81/200,E81&gt;=3000000,E81/250)</f>
        <v>1752.65</v>
      </c>
      <c r="G81" s="2" t="str" cm="1">
        <f t="array" aca="1" ref="G81" ca="1">IFERROR(_xlfn.IFS(AND(E81&lt;80000,E81&gt;15000),"MEDIUM",E81&gt;80000,"LARGE",E81&lt;15000,"SMALL"),"SMALL")</f>
        <v>LARGE</v>
      </c>
      <c r="H81" s="2" t="str">
        <f t="shared" ca="1" si="1"/>
        <v>false</v>
      </c>
      <c r="I81" s="10" cm="1" vm="319">
        <f t="array" aca="1" ref="I81" ca="1">_FV(D81,"Latitude")</f>
        <v>34.052777777777997</v>
      </c>
      <c r="J81" s="10" cm="1" vm="320">
        <f t="array" aca="1" ref="J81" ca="1">_FV(D81,"Longitude")</f>
        <v>-117.62777777778</v>
      </c>
      <c r="K81">
        <v>3062</v>
      </c>
      <c r="L81">
        <v>1473</v>
      </c>
      <c r="M81" s="2" t="s">
        <v>15</v>
      </c>
    </row>
    <row r="82" spans="1:13" x14ac:dyDescent="0.25">
      <c r="A82" s="2">
        <v>1030</v>
      </c>
      <c r="B82" s="3" t="s">
        <v>95</v>
      </c>
      <c r="C82" s="3" t="s">
        <v>14</v>
      </c>
      <c r="D82" t="e" vm="321">
        <v>#VALUE!</v>
      </c>
      <c r="E82" s="2" cm="1" vm="322">
        <f t="array" aca="1" ref="E82" ca="1">_FV(D82,"Population")</f>
        <v>20042</v>
      </c>
      <c r="F82" s="4" cm="1">
        <f t="array" aca="1" ref="F82" ca="1">_xlfn.IFS(E82&lt;2500,E82/10,AND(E82&gt;=2500,E82&lt;25000),E82/25,AND(E82&gt;=25000,E82&lt;100000),E82/50,AND(E82&gt;=100000,E82&lt;1000000),E82/100,AND(E82&gt;=1000000,E82&lt;2000000),E82/150,AND(E82&gt;=2000000,E82&lt;3000000),E82/200,E82&gt;=3000000,E82/250)</f>
        <v>801.68</v>
      </c>
      <c r="G82" s="2" t="str" cm="1">
        <f t="array" aca="1" ref="G82" ca="1">IFERROR(_xlfn.IFS(AND(E82&lt;80000,E82&gt;15000),"MEDIUM",E82&gt;80000,"LARGE",E82&lt;15000,"SMALL"),"SMALL")</f>
        <v>MEDIUM</v>
      </c>
      <c r="H82" s="2" t="str">
        <f t="shared" ca="1" si="1"/>
        <v>false</v>
      </c>
      <c r="I82" s="10" cm="1" vm="323">
        <f t="array" aca="1" ref="I82" ca="1">_FV(D82,"Latitude")</f>
        <v>39.513888888888999</v>
      </c>
      <c r="J82" s="10" cm="1" vm="324">
        <f t="array" aca="1" ref="J82" ca="1">_FV(D82,"Longitude")</f>
        <v>-121.3925</v>
      </c>
      <c r="K82">
        <v>1943</v>
      </c>
      <c r="L82">
        <v>702</v>
      </c>
      <c r="M82" s="2" t="s">
        <v>15</v>
      </c>
    </row>
    <row r="83" spans="1:13" x14ac:dyDescent="0.25">
      <c r="A83" s="2">
        <v>1033</v>
      </c>
      <c r="B83" t="s">
        <v>96</v>
      </c>
      <c r="C83" t="s">
        <v>14</v>
      </c>
      <c r="D83" t="e" vm="325">
        <v>#VALUE!</v>
      </c>
      <c r="E83" s="2" cm="1" vm="326">
        <f t="array" aca="1" ref="E83" ca="1">_FV(D83,"Population")</f>
        <v>202063</v>
      </c>
      <c r="F83" s="4" cm="1">
        <f t="array" aca="1" ref="F83" ca="1">_xlfn.IFS(E83&lt;2500,E83/10,AND(E83&gt;=2500,E83&lt;25000),E83/25,AND(E83&gt;=25000,E83&lt;100000),E83/50,AND(E83&gt;=100000,E83&lt;1000000),E83/100,AND(E83&gt;=1000000,E83&lt;2000000),E83/150,AND(E83&gt;=2000000,E83&lt;3000000),E83/200,E83&gt;=3000000,E83/250)</f>
        <v>2020.63</v>
      </c>
      <c r="G83" s="2" t="str" cm="1">
        <f t="array" aca="1" ref="G83" ca="1">IFERROR(_xlfn.IFS(AND(E83&lt;80000,E83&gt;15000),"MEDIUM",E83&gt;80000,"LARGE",E83&lt;15000,"SMALL"),"SMALL")</f>
        <v>LARGE</v>
      </c>
      <c r="H83" s="2" t="str">
        <f t="shared" ca="1" si="1"/>
        <v>true</v>
      </c>
      <c r="I83" s="10" cm="1" vm="327">
        <f t="array" aca="1" ref="I83" ca="1">_FV(D83,"Latitude")</f>
        <v>34.191388888889001</v>
      </c>
      <c r="J83" s="10" cm="1" vm="328">
        <f t="array" aca="1" ref="J83" ca="1">_FV(D83,"Longitude")</f>
        <v>-119.1825</v>
      </c>
      <c r="K83">
        <v>3033</v>
      </c>
      <c r="L83">
        <v>1154</v>
      </c>
      <c r="M83" s="2" t="s">
        <v>15</v>
      </c>
    </row>
    <row r="84" spans="1:13" x14ac:dyDescent="0.25">
      <c r="A84" s="2">
        <v>1042</v>
      </c>
      <c r="B84" s="3" t="s">
        <v>97</v>
      </c>
      <c r="C84" s="3" t="s">
        <v>14</v>
      </c>
      <c r="D84" t="e" vm="329">
        <v>#VALUE!</v>
      </c>
      <c r="E84" s="2" cm="1" vm="330">
        <f t="array" aca="1" ref="E84" ca="1">_FV(D84,"Population")</f>
        <v>44575</v>
      </c>
      <c r="F84" s="4" cm="1">
        <f t="array" aca="1" ref="F84" ca="1">_xlfn.IFS(E84&lt;2500,E84/10,AND(E84&gt;=2500,E84&lt;25000),E84/25,AND(E84&gt;=25000,E84&lt;100000),E84/50,AND(E84&gt;=100000,E84&lt;1000000),E84/100,AND(E84&gt;=1000000,E84&lt;2000000),E84/150,AND(E84&gt;=2000000,E84&lt;3000000),E84/200,E84&gt;=3000000,E84/250)</f>
        <v>891.5</v>
      </c>
      <c r="G84" s="2" t="str" cm="1">
        <f t="array" aca="1" ref="G84" ca="1">IFERROR(_xlfn.IFS(AND(E84&lt;80000,E84&gt;15000),"MEDIUM",E84&gt;80000,"LARGE",E84&lt;15000,"SMALL"),"SMALL")</f>
        <v>MEDIUM</v>
      </c>
      <c r="H84" s="2" t="str">
        <f t="shared" ca="1" si="1"/>
        <v>false</v>
      </c>
      <c r="I84" s="10" cm="1" vm="331">
        <f t="array" aca="1" ref="I84" ca="1">_FV(D84,"Latitude")</f>
        <v>33.823888888889002</v>
      </c>
      <c r="J84" s="10" cm="1" vm="332">
        <f t="array" aca="1" ref="J84" ca="1">_FV(D84,"Longitude")</f>
        <v>-116.53027777778</v>
      </c>
      <c r="K84">
        <v>3109</v>
      </c>
      <c r="L84">
        <v>1697</v>
      </c>
      <c r="M84" s="2" t="s">
        <v>15</v>
      </c>
    </row>
    <row r="85" spans="1:13" x14ac:dyDescent="0.25">
      <c r="A85" s="2">
        <v>1043</v>
      </c>
      <c r="B85" s="3" t="s">
        <v>98</v>
      </c>
      <c r="C85" s="3" t="s">
        <v>14</v>
      </c>
      <c r="D85" t="e" vm="333">
        <v>#VALUE!</v>
      </c>
      <c r="E85" s="2" cm="1" vm="334">
        <f t="array" aca="1" ref="E85" ca="1">_FV(D85,"Population")</f>
        <v>169450</v>
      </c>
      <c r="F85" s="4" cm="1">
        <f t="array" aca="1" ref="F85" ca="1">_xlfn.IFS(E85&lt;2500,E85/10,AND(E85&gt;=2500,E85&lt;25000),E85/25,AND(E85&gt;=25000,E85&lt;100000),E85/50,AND(E85&gt;=100000,E85&lt;1000000),E85/100,AND(E85&gt;=1000000,E85&lt;2000000),E85/150,AND(E85&gt;=2000000,E85&lt;3000000),E85/200,E85&gt;=3000000,E85/250)</f>
        <v>1694.5</v>
      </c>
      <c r="G85" s="2" t="str" cm="1">
        <f t="array" aca="1" ref="G85" ca="1">IFERROR(_xlfn.IFS(AND(E85&lt;80000,E85&gt;15000),"MEDIUM",E85&gt;80000,"LARGE",E85&lt;15000,"SMALL"),"SMALL")</f>
        <v>LARGE</v>
      </c>
      <c r="H85" s="2" t="str">
        <f t="shared" ca="1" si="1"/>
        <v>false</v>
      </c>
      <c r="I85" s="10" cm="1" vm="335">
        <f t="array" aca="1" ref="I85" ca="1">_FV(D85,"Latitude")</f>
        <v>34.579430000000002</v>
      </c>
      <c r="J85" s="10" cm="1" vm="336">
        <f t="array" aca="1" ref="J85" ca="1">_FV(D85,"Longitude")</f>
        <v>-118.11646</v>
      </c>
      <c r="K85">
        <v>2954</v>
      </c>
      <c r="L85">
        <v>1372</v>
      </c>
      <c r="M85" s="2" t="s">
        <v>15</v>
      </c>
    </row>
    <row r="86" spans="1:13" x14ac:dyDescent="0.25">
      <c r="A86" s="2">
        <v>1044</v>
      </c>
      <c r="B86" s="3" t="s">
        <v>99</v>
      </c>
      <c r="C86" s="3" t="s">
        <v>14</v>
      </c>
      <c r="D86" t="e" vm="337">
        <v>#VALUE!</v>
      </c>
      <c r="E86" s="2" cm="1" vm="338">
        <f t="array" aca="1" ref="E86" ca="1">_FV(D86,"Population")</f>
        <v>68572</v>
      </c>
      <c r="F86" s="4" cm="1">
        <f t="array" aca="1" ref="F86" ca="1">_xlfn.IFS(E86&lt;2500,E86/10,AND(E86&gt;=2500,E86&lt;25000),E86/25,AND(E86&gt;=25000,E86&lt;100000),E86/50,AND(E86&gt;=100000,E86&lt;1000000),E86/100,AND(E86&gt;=1000000,E86&lt;2000000),E86/150,AND(E86&gt;=2000000,E86&lt;3000000),E86/200,E86&gt;=3000000,E86/250)</f>
        <v>1371.44</v>
      </c>
      <c r="G86" s="2" t="str" cm="1">
        <f t="array" aca="1" ref="G86" ca="1">IFERROR(_xlfn.IFS(AND(E86&lt;80000,E86&gt;15000),"MEDIUM",E86&gt;80000,"LARGE",E86&lt;15000,"SMALL"),"SMALL")</f>
        <v>MEDIUM</v>
      </c>
      <c r="H86" s="2" t="str">
        <f t="shared" ca="1" si="1"/>
        <v>false</v>
      </c>
      <c r="I86" s="10" cm="1" vm="339">
        <f t="array" aca="1" ref="I86" ca="1">_FV(D86,"Latitude")</f>
        <v>37.429166666667001</v>
      </c>
      <c r="J86" s="10" cm="1" vm="340">
        <f t="array" aca="1" ref="J86" ca="1">_FV(D86,"Longitude")</f>
        <v>-122.13805555556</v>
      </c>
      <c r="K86">
        <v>2370</v>
      </c>
      <c r="L86">
        <v>549</v>
      </c>
      <c r="M86" s="2" t="s">
        <v>15</v>
      </c>
    </row>
    <row r="87" spans="1:13" x14ac:dyDescent="0.25">
      <c r="A87" s="2">
        <v>1048</v>
      </c>
      <c r="B87" s="3" t="s">
        <v>100</v>
      </c>
      <c r="C87" s="3" t="s">
        <v>14</v>
      </c>
      <c r="D87" t="e" vm="341">
        <v>#VALUE!</v>
      </c>
      <c r="E87" s="2" cm="1" vm="342">
        <f t="array" aca="1" ref="E87" ca="1">_FV(D87,"Population")</f>
        <v>4764</v>
      </c>
      <c r="F87" s="4" cm="1">
        <f t="array" aca="1" ref="F87" ca="1">_xlfn.IFS(E87&lt;2500,E87/10,AND(E87&gt;=2500,E87&lt;25000),E87/25,AND(E87&gt;=25000,E87&lt;100000),E87/50,AND(E87&gt;=100000,E87&lt;1000000),E87/100,AND(E87&gt;=1000000,E87&lt;2000000),E87/150,AND(E87&gt;=2000000,E87&lt;3000000),E87/200,E87&gt;=3000000,E87/250)</f>
        <v>190.56</v>
      </c>
      <c r="G87" s="2" t="str" cm="1">
        <f t="array" aca="1" ref="G87" ca="1">IFERROR(_xlfn.IFS(AND(E87&lt;80000,E87&gt;15000),"MEDIUM",E87&gt;80000,"LARGE",E87&lt;15000,"SMALL"),"SMALL")</f>
        <v>SMALL</v>
      </c>
      <c r="H87" s="2" t="str">
        <f t="shared" ca="1" si="1"/>
        <v>false</v>
      </c>
      <c r="I87" s="10" cm="1" vm="343">
        <f t="array" aca="1" ref="I87" ca="1">_FV(D87,"Latitude")</f>
        <v>39.759722222222003</v>
      </c>
      <c r="J87" s="10" cm="1" vm="344">
        <f t="array" aca="1" ref="J87" ca="1">_FV(D87,"Longitude")</f>
        <v>-121.62138888889</v>
      </c>
      <c r="K87">
        <v>1893</v>
      </c>
      <c r="L87">
        <v>655</v>
      </c>
      <c r="M87" s="2" t="s">
        <v>15</v>
      </c>
    </row>
    <row r="88" spans="1:13" x14ac:dyDescent="0.25">
      <c r="A88" s="2">
        <v>1056</v>
      </c>
      <c r="B88" s="3" t="s">
        <v>101</v>
      </c>
      <c r="C88" s="3" t="s">
        <v>14</v>
      </c>
      <c r="D88" t="e" vm="345">
        <v>#VALUE!</v>
      </c>
      <c r="E88" s="2" cm="1" vm="346">
        <f t="array" aca="1" ref="E88" ca="1">_FV(D88,"Population")</f>
        <v>138699</v>
      </c>
      <c r="F88" s="4" cm="1">
        <f t="array" aca="1" ref="F88" ca="1">_xlfn.IFS(E88&lt;2500,E88/10,AND(E88&gt;=2500,E88&lt;25000),E88/25,AND(E88&gt;=25000,E88&lt;100000),E88/50,AND(E88&gt;=100000,E88&lt;1000000),E88/100,AND(E88&gt;=1000000,E88&lt;2000000),E88/150,AND(E88&gt;=2000000,E88&lt;3000000),E88/200,E88&gt;=3000000,E88/250)</f>
        <v>1386.99</v>
      </c>
      <c r="G88" s="2" t="str" cm="1">
        <f t="array" aca="1" ref="G88" ca="1">IFERROR(_xlfn.IFS(AND(E88&lt;80000,E88&gt;15000),"MEDIUM",E88&gt;80000,"LARGE",E88&lt;15000,"SMALL"),"SMALL")</f>
        <v>LARGE</v>
      </c>
      <c r="H88" s="2" t="str">
        <f t="shared" ca="1" si="1"/>
        <v>false</v>
      </c>
      <c r="I88" s="10" cm="1" vm="347">
        <f t="array" aca="1" ref="I88" ca="1">_FV(D88,"Latitude")</f>
        <v>34.156111111111002</v>
      </c>
      <c r="J88" s="10" cm="1" vm="348">
        <f t="array" aca="1" ref="J88" ca="1">_FV(D88,"Longitude")</f>
        <v>-118.13194444443999</v>
      </c>
      <c r="K88">
        <v>3041</v>
      </c>
      <c r="L88">
        <v>1369</v>
      </c>
      <c r="M88" s="2" t="s">
        <v>15</v>
      </c>
    </row>
    <row r="89" spans="1:13" x14ac:dyDescent="0.25">
      <c r="A89" s="2">
        <v>1059</v>
      </c>
      <c r="B89" t="s">
        <v>102</v>
      </c>
      <c r="C89" t="s">
        <v>14</v>
      </c>
      <c r="D89" t="e" vm="349">
        <v>#VALUE!</v>
      </c>
      <c r="E89" s="2" cm="1" vm="350">
        <f t="array" aca="1" ref="E89" ca="1">_FV(D89,"Population")</f>
        <v>31490</v>
      </c>
      <c r="F89" s="4" cm="1">
        <f t="array" aca="1" ref="F89" ca="1">_xlfn.IFS(E89&lt;2500,E89/10,AND(E89&gt;=2500,E89&lt;25000),E89/25,AND(E89&gt;=25000,E89&lt;100000),E89/50,AND(E89&gt;=100000,E89&lt;1000000),E89/100,AND(E89&gt;=1000000,E89&lt;2000000),E89/150,AND(E89&gt;=2000000,E89&lt;3000000),E89/200,E89&gt;=3000000,E89/250)</f>
        <v>629.79999999999995</v>
      </c>
      <c r="G89" s="2" t="str" cm="1">
        <f t="array" aca="1" ref="G89" ca="1">IFERROR(_xlfn.IFS(AND(E89&lt;80000,E89&gt;15000),"MEDIUM",E89&gt;80000,"LARGE",E89&lt;15000,"SMALL"),"SMALL")</f>
        <v>MEDIUM</v>
      </c>
      <c r="H89" s="2" t="str">
        <f t="shared" ca="1" si="1"/>
        <v>false</v>
      </c>
      <c r="I89" s="10" cm="1" vm="351">
        <f t="array" aca="1" ref="I89" ca="1">_FV(D89,"Latitude")</f>
        <v>35.630000000000003</v>
      </c>
      <c r="J89" s="10" cm="1" vm="352">
        <f t="array" aca="1" ref="J89" ca="1">_FV(D89,"Longitude")</f>
        <v>-120.66</v>
      </c>
      <c r="K89">
        <v>2739</v>
      </c>
      <c r="L89">
        <v>852</v>
      </c>
      <c r="M89" s="2" t="s">
        <v>15</v>
      </c>
    </row>
    <row r="90" spans="1:13" x14ac:dyDescent="0.25">
      <c r="A90" s="2">
        <v>1096</v>
      </c>
      <c r="B90" s="3" t="s">
        <v>103</v>
      </c>
      <c r="C90" s="3" t="s">
        <v>14</v>
      </c>
      <c r="D90" t="e" vm="353">
        <v>#VALUE!</v>
      </c>
      <c r="E90" s="2" cm="1" vm="354">
        <f t="array" aca="1" ref="E90" ca="1">_FV(D90,"Population")</f>
        <v>8072</v>
      </c>
      <c r="F90" s="4" cm="1">
        <f t="array" aca="1" ref="F90" ca="1">_xlfn.IFS(E90&lt;2500,E90/10,AND(E90&gt;=2500,E90&lt;25000),E90/25,AND(E90&gt;=25000,E90&lt;100000),E90/50,AND(E90&gt;=100000,E90&lt;1000000),E90/100,AND(E90&gt;=1000000,E90&lt;2000000),E90/150,AND(E90&gt;=2000000,E90&lt;3000000),E90/200,E90&gt;=3000000,E90/250)</f>
        <v>322.88</v>
      </c>
      <c r="G90" s="2" t="str" cm="1">
        <f t="array" aca="1" ref="G90" ca="1">IFERROR(_xlfn.IFS(AND(E90&lt;80000,E90&gt;15000),"MEDIUM",E90&gt;80000,"LARGE",E90&lt;15000,"SMALL"),"SMALL")</f>
        <v>SMALL</v>
      </c>
      <c r="H90" s="2" t="str">
        <f t="shared" ca="1" si="1"/>
        <v>false</v>
      </c>
      <c r="I90" s="10" cm="1" vm="355">
        <f t="array" aca="1" ref="I90" ca="1">_FV(D90,"Latitude")</f>
        <v>35.148333333332999</v>
      </c>
      <c r="J90" s="10" cm="1" vm="356">
        <f t="array" aca="1" ref="J90" ca="1">_FV(D90,"Longitude")</f>
        <v>-120.64805555556001</v>
      </c>
      <c r="K90">
        <v>2837</v>
      </c>
      <c r="L90">
        <v>854</v>
      </c>
      <c r="M90" s="2" t="s">
        <v>15</v>
      </c>
    </row>
    <row r="91" spans="1:13" x14ac:dyDescent="0.25">
      <c r="A91" s="2">
        <v>1100</v>
      </c>
      <c r="B91" t="s">
        <v>104</v>
      </c>
      <c r="C91" t="s">
        <v>14</v>
      </c>
      <c r="D91" t="e" vm="357">
        <v>#VALUE!</v>
      </c>
      <c r="E91" s="2" cm="1" vm="358">
        <f t="array" aca="1" ref="E91" ca="1">_FV(D91,"Population")</f>
        <v>10747</v>
      </c>
      <c r="F91" s="4" cm="1">
        <f t="array" aca="1" ref="F91" ca="1">_xlfn.IFS(E91&lt;2500,E91/10,AND(E91&gt;=2500,E91&lt;25000),E91/25,AND(E91&gt;=25000,E91&lt;100000),E91/50,AND(E91&gt;=100000,E91&lt;1000000),E91/100,AND(E91&gt;=1000000,E91&lt;2000000),E91/150,AND(E91&gt;=2000000,E91&lt;3000000),E91/200,E91&gt;=3000000,E91/250)</f>
        <v>429.88</v>
      </c>
      <c r="G91" s="2" t="str" cm="1">
        <f t="array" aca="1" ref="G91" ca="1">IFERROR(_xlfn.IFS(AND(E91&lt;80000,E91&gt;15000),"MEDIUM",E91&gt;80000,"LARGE",E91&lt;15000,"SMALL"),"SMALL")</f>
        <v>SMALL</v>
      </c>
      <c r="H91" s="2" t="str">
        <f t="shared" ca="1" si="1"/>
        <v>false</v>
      </c>
      <c r="I91" s="10" cm="1" vm="359">
        <f t="array" aca="1" ref="I91" ca="1">_FV(D91,"Latitude")</f>
        <v>38.729722222222001</v>
      </c>
      <c r="J91" s="10" cm="1" vm="360">
        <f t="array" aca="1" ref="J91" ca="1">_FV(D91,"Longitude")</f>
        <v>-120.79861111111001</v>
      </c>
      <c r="K91">
        <v>2104</v>
      </c>
      <c r="L91">
        <v>823</v>
      </c>
      <c r="M91" s="2" t="s">
        <v>15</v>
      </c>
    </row>
    <row r="92" spans="1:13" x14ac:dyDescent="0.25">
      <c r="A92" s="2">
        <v>1106</v>
      </c>
      <c r="B92" s="3" t="s">
        <v>105</v>
      </c>
      <c r="C92" s="3" t="s">
        <v>14</v>
      </c>
      <c r="D92" t="e" vm="361">
        <v>#VALUE!</v>
      </c>
      <c r="E92" s="2" cm="1" vm="362">
        <f t="array" aca="1" ref="E92" ca="1">_FV(D92,"Population")</f>
        <v>79871</v>
      </c>
      <c r="F92" s="4" cm="1">
        <f t="array" aca="1" ref="F92" ca="1">_xlfn.IFS(E92&lt;2500,E92/10,AND(E92&gt;=2500,E92&lt;25000),E92/25,AND(E92&gt;=25000,E92&lt;100000),E92/50,AND(E92&gt;=100000,E92&lt;1000000),E92/100,AND(E92&gt;=1000000,E92&lt;2000000),E92/150,AND(E92&gt;=2000000,E92&lt;3000000),E92/200,E92&gt;=3000000,E92/250)</f>
        <v>1597.42</v>
      </c>
      <c r="G92" s="2" t="str" cm="1">
        <f t="array" aca="1" ref="G92" ca="1">IFERROR(_xlfn.IFS(AND(E92&lt;80000,E92&gt;15000),"MEDIUM",E92&gt;80000,"LARGE",E92&lt;15000,"SMALL"),"SMALL")</f>
        <v>MEDIUM</v>
      </c>
      <c r="H92" s="2" t="str">
        <f t="shared" ca="1" si="1"/>
        <v>false</v>
      </c>
      <c r="I92" s="10" cm="1" vm="363">
        <f t="array" aca="1" ref="I92" ca="1">_FV(D92,"Latitude")</f>
        <v>37.672499999999999</v>
      </c>
      <c r="J92" s="10" cm="1" vm="364">
        <f t="array" aca="1" ref="J92" ca="1">_FV(D92,"Longitude")</f>
        <v>-121.88249999999999</v>
      </c>
      <c r="K92">
        <v>2320</v>
      </c>
      <c r="L92">
        <v>601</v>
      </c>
      <c r="M92" s="2" t="s">
        <v>15</v>
      </c>
    </row>
    <row r="93" spans="1:13" x14ac:dyDescent="0.25">
      <c r="A93" s="2">
        <v>1118</v>
      </c>
      <c r="B93" s="3" t="s">
        <v>106</v>
      </c>
      <c r="C93" s="3" t="s">
        <v>14</v>
      </c>
      <c r="D93" t="e" vm="365">
        <v>#VALUE!</v>
      </c>
      <c r="E93" s="2" cm="1" vm="366">
        <f t="array" aca="1" ref="E93" ca="1">_FV(D93,"Population")</f>
        <v>62623</v>
      </c>
      <c r="F93" s="4" cm="1">
        <f t="array" aca="1" ref="F93" ca="1">_xlfn.IFS(E93&lt;2500,E93/10,AND(E93&gt;=2500,E93&lt;25000),E93/25,AND(E93&gt;=25000,E93&lt;100000),E93/50,AND(E93&gt;=100000,E93&lt;1000000),E93/100,AND(E93&gt;=1000000,E93&lt;2000000),E93/150,AND(E93&gt;=2000000,E93&lt;3000000),E93/200,E93&gt;=3000000,E93/250)</f>
        <v>1252.46</v>
      </c>
      <c r="G93" s="2" t="str" cm="1">
        <f t="array" aca="1" ref="G93" ca="1">IFERROR(_xlfn.IFS(AND(E93&lt;80000,E93&gt;15000),"MEDIUM",E93&gt;80000,"LARGE",E93&lt;15000,"SMALL"),"SMALL")</f>
        <v>MEDIUM</v>
      </c>
      <c r="H93" s="2" t="str">
        <f t="shared" ca="1" si="1"/>
        <v>false</v>
      </c>
      <c r="I93" s="10" cm="1" vm="367">
        <f t="array" aca="1" ref="I93" ca="1">_FV(D93,"Latitude")</f>
        <v>36.068611111110997</v>
      </c>
      <c r="J93" s="10" cm="1" vm="368">
        <f t="array" aca="1" ref="J93" ca="1">_FV(D93,"Longitude")</f>
        <v>-119.0275</v>
      </c>
      <c r="K93">
        <v>2649</v>
      </c>
      <c r="L93">
        <v>1186</v>
      </c>
      <c r="M93" s="2" t="s">
        <v>15</v>
      </c>
    </row>
    <row r="94" spans="1:13" x14ac:dyDescent="0.25">
      <c r="A94" s="2">
        <v>1147</v>
      </c>
      <c r="B94" s="3" t="s">
        <v>107</v>
      </c>
      <c r="C94" s="3" t="s">
        <v>14</v>
      </c>
      <c r="D94" t="e" vm="369">
        <v>#VALUE!</v>
      </c>
      <c r="E94" s="2" cm="1" vm="370">
        <f t="array" aca="1" ref="E94" ca="1">_FV(D94,"Population")</f>
        <v>14710</v>
      </c>
      <c r="F94" s="4" cm="1">
        <f t="array" aca="1" ref="F94" ca="1">_xlfn.IFS(E94&lt;2500,E94/10,AND(E94&gt;=2500,E94&lt;25000),E94/25,AND(E94&gt;=25000,E94&lt;100000),E94/50,AND(E94&gt;=100000,E94&lt;1000000),E94/100,AND(E94&gt;=1000000,E94&lt;2000000),E94/150,AND(E94&gt;=2000000,E94&lt;3000000),E94/200,E94&gt;=3000000,E94/250)</f>
        <v>588.4</v>
      </c>
      <c r="G94" s="2" t="str" cm="1">
        <f t="array" aca="1" ref="G94" ca="1">IFERROR(_xlfn.IFS(AND(E94&lt;80000,E94&gt;15000),"MEDIUM",E94&gt;80000,"LARGE",E94&lt;15000,"SMALL"),"SMALL")</f>
        <v>SMALL</v>
      </c>
      <c r="H94" s="2" t="str">
        <f t="shared" ca="1" si="1"/>
        <v>false</v>
      </c>
      <c r="I94" s="10" cm="1" vm="371">
        <f t="array" aca="1" ref="I94" ca="1">_FV(D94,"Latitude")</f>
        <v>40.176666666667003</v>
      </c>
      <c r="J94" s="10" cm="1" vm="372">
        <f t="array" aca="1" ref="J94" ca="1">_FV(D94,"Longitude")</f>
        <v>-122.23805555556</v>
      </c>
      <c r="K94">
        <v>1808</v>
      </c>
      <c r="L94">
        <v>528</v>
      </c>
      <c r="M94" s="2" t="s">
        <v>15</v>
      </c>
    </row>
    <row r="95" spans="1:13" x14ac:dyDescent="0.25">
      <c r="A95" s="2">
        <v>1151</v>
      </c>
      <c r="B95" s="3" t="s">
        <v>108</v>
      </c>
      <c r="C95" s="3" t="s">
        <v>14</v>
      </c>
      <c r="D95" t="e" vm="373">
        <v>#VALUE!</v>
      </c>
      <c r="E95" s="2" cm="1" vm="374">
        <f t="array" aca="1" ref="E95" ca="1">_FV(D95,"Population")</f>
        <v>93611</v>
      </c>
      <c r="F95" s="4" cm="1">
        <f t="array" aca="1" ref="F95" ca="1">_xlfn.IFS(E95&lt;2500,E95/10,AND(E95&gt;=2500,E95&lt;25000),E95/25,AND(E95&gt;=25000,E95&lt;100000),E95/50,AND(E95&gt;=100000,E95&lt;1000000),E95/100,AND(E95&gt;=1000000,E95&lt;2000000),E95/150,AND(E95&gt;=2000000,E95&lt;3000000),E95/200,E95&gt;=3000000,E95/250)</f>
        <v>1872.22</v>
      </c>
      <c r="G95" s="2" t="str" cm="1">
        <f t="array" aca="1" ref="G95" ca="1">IFERROR(_xlfn.IFS(AND(E95&lt;80000,E95&gt;15000),"MEDIUM",E95&gt;80000,"LARGE",E95&lt;15000,"SMALL"),"SMALL")</f>
        <v>LARGE</v>
      </c>
      <c r="H95" s="2" t="str">
        <f t="shared" ca="1" si="1"/>
        <v>false</v>
      </c>
      <c r="I95" s="10" cm="1" vm="375">
        <f t="array" aca="1" ref="I95" ca="1">_FV(D95,"Latitude")</f>
        <v>40.576666666667002</v>
      </c>
      <c r="J95" s="10" cm="1" vm="376">
        <f t="array" aca="1" ref="J95" ca="1">_FV(D95,"Longitude")</f>
        <v>-122.37027777778</v>
      </c>
      <c r="K95">
        <v>1726</v>
      </c>
      <c r="L95">
        <v>501</v>
      </c>
      <c r="M95" s="2" t="s">
        <v>15</v>
      </c>
    </row>
    <row r="96" spans="1:13" x14ac:dyDescent="0.25">
      <c r="A96" s="2">
        <v>1162</v>
      </c>
      <c r="B96" s="3" t="s">
        <v>109</v>
      </c>
      <c r="C96" s="3" t="s">
        <v>14</v>
      </c>
      <c r="D96" t="e" vm="377">
        <v>#VALUE!</v>
      </c>
      <c r="E96" s="2" cm="1" vm="378">
        <f t="array" aca="1" ref="E96" ca="1">_FV(D96,"Population")</f>
        <v>116448</v>
      </c>
      <c r="F96" s="4" cm="1">
        <f t="array" aca="1" ref="F96" ca="1">_xlfn.IFS(E96&lt;2500,E96/10,AND(E96&gt;=2500,E96&lt;25000),E96/25,AND(E96&gt;=25000,E96&lt;100000),E96/50,AND(E96&gt;=100000,E96&lt;1000000),E96/100,AND(E96&gt;=1000000,E96&lt;2000000),E96/150,AND(E96&gt;=2000000,E96&lt;3000000),E96/200,E96&gt;=3000000,E96/250)</f>
        <v>1164.48</v>
      </c>
      <c r="G96" s="2" t="str" cm="1">
        <f t="array" aca="1" ref="G96" ca="1">IFERROR(_xlfn.IFS(AND(E96&lt;80000,E96&gt;15000),"MEDIUM",E96&gt;80000,"LARGE",E96&lt;15000,"SMALL"),"SMALL")</f>
        <v>LARGE</v>
      </c>
      <c r="H96" s="2" t="str">
        <f t="shared" ca="1" si="1"/>
        <v>false</v>
      </c>
      <c r="I96" s="10" cm="1" vm="379">
        <f t="array" aca="1" ref="I96" ca="1">_FV(D96,"Latitude")</f>
        <v>37.935833333333001</v>
      </c>
      <c r="J96" s="10" cm="1" vm="380">
        <f t="array" aca="1" ref="J96" ca="1">_FV(D96,"Longitude")</f>
        <v>-122.34777777778</v>
      </c>
      <c r="K96">
        <v>2266</v>
      </c>
      <c r="L96">
        <v>506</v>
      </c>
      <c r="M96" s="2" t="s">
        <v>15</v>
      </c>
    </row>
    <row r="97" spans="1:13" x14ac:dyDescent="0.25">
      <c r="A97" s="2">
        <v>1164</v>
      </c>
      <c r="B97" s="3" t="s">
        <v>110</v>
      </c>
      <c r="C97" s="3" t="s">
        <v>14</v>
      </c>
      <c r="D97" t="e" vm="381">
        <v>#VALUE!</v>
      </c>
      <c r="E97" s="2" cm="1" vm="382">
        <f t="array" aca="1" ref="E97" ca="1">_FV(D97,"Population")</f>
        <v>27959</v>
      </c>
      <c r="F97" s="4" cm="1">
        <f t="array" aca="1" ref="F97" ca="1">_xlfn.IFS(E97&lt;2500,E97/10,AND(E97&gt;=2500,E97&lt;25000),E97/25,AND(E97&gt;=25000,E97&lt;100000),E97/50,AND(E97&gt;=100000,E97&lt;1000000),E97/100,AND(E97&gt;=1000000,E97&lt;2000000),E97/150,AND(E97&gt;=2000000,E97&lt;3000000),E97/200,E97&gt;=3000000,E97/250)</f>
        <v>559.17999999999995</v>
      </c>
      <c r="G97" s="2" t="str" cm="1">
        <f t="array" aca="1" ref="G97" ca="1">IFERROR(_xlfn.IFS(AND(E97&lt;80000,E97&gt;15000),"MEDIUM",E97&gt;80000,"LARGE",E97&lt;15000,"SMALL"),"SMALL")</f>
        <v>MEDIUM</v>
      </c>
      <c r="H97" s="2" t="str">
        <f t="shared" ca="1" si="1"/>
        <v>false</v>
      </c>
      <c r="I97" s="10" cm="1" vm="383">
        <f t="array" aca="1" ref="I97" ca="1">_FV(D97,"Latitude")</f>
        <v>35.622500000000002</v>
      </c>
      <c r="J97" s="10" cm="1" vm="384">
        <f t="array" aca="1" ref="J97" ca="1">_FV(D97,"Longitude")</f>
        <v>-117.67083333332999</v>
      </c>
      <c r="K97">
        <v>2740</v>
      </c>
      <c r="L97">
        <v>1464</v>
      </c>
      <c r="M97" s="2" t="s">
        <v>15</v>
      </c>
    </row>
    <row r="98" spans="1:13" x14ac:dyDescent="0.25">
      <c r="A98" s="2">
        <v>1178</v>
      </c>
      <c r="B98" t="s">
        <v>111</v>
      </c>
      <c r="C98" t="s">
        <v>14</v>
      </c>
      <c r="D98" t="e" vm="385">
        <v>#VALUE!</v>
      </c>
      <c r="E98" s="2" cm="1" vm="386">
        <f t="array" aca="1" ref="E98" ca="1">_FV(D98,"Population")</f>
        <v>314998</v>
      </c>
      <c r="F98" s="4" cm="1">
        <f t="array" aca="1" ref="F98" ca="1">_xlfn.IFS(E98&lt;2500,E98/10,AND(E98&gt;=2500,E98&lt;25000),E98/25,AND(E98&gt;=25000,E98&lt;100000),E98/50,AND(E98&gt;=100000,E98&lt;1000000),E98/100,AND(E98&gt;=1000000,E98&lt;2000000),E98/150,AND(E98&gt;=2000000,E98&lt;3000000),E98/200,E98&gt;=3000000,E98/250)</f>
        <v>3149.98</v>
      </c>
      <c r="G98" s="2" t="str" cm="1">
        <f t="array" aca="1" ref="G98" ca="1">IFERROR(_xlfn.IFS(AND(E98&lt;80000,E98&gt;15000),"MEDIUM",E98&gt;80000,"LARGE",E98&lt;15000,"SMALL"),"SMALL")</f>
        <v>LARGE</v>
      </c>
      <c r="H98" s="2" t="str">
        <f t="shared" ca="1" si="1"/>
        <v>true</v>
      </c>
      <c r="I98" s="10" cm="1" vm="387">
        <f t="array" aca="1" ref="I98" ca="1">_FV(D98,"Latitude")</f>
        <v>33.982222222222198</v>
      </c>
      <c r="J98" s="10" cm="1" vm="388">
        <f t="array" aca="1" ref="J98" ca="1">_FV(D98,"Longitude")</f>
        <v>-117.3725</v>
      </c>
      <c r="K98">
        <v>3076</v>
      </c>
      <c r="L98">
        <v>1525</v>
      </c>
      <c r="M98" s="2" t="s">
        <v>15</v>
      </c>
    </row>
    <row r="99" spans="1:13" x14ac:dyDescent="0.25">
      <c r="A99" s="2">
        <v>1196</v>
      </c>
      <c r="B99" s="3" t="s">
        <v>112</v>
      </c>
      <c r="C99" s="3" t="s">
        <v>14</v>
      </c>
      <c r="D99" t="e" vm="389">
        <v>#VALUE!</v>
      </c>
      <c r="E99" s="2" cm="1" vm="390">
        <f t="array" aca="1" ref="E99" ca="1">_FV(D99,"Population")</f>
        <v>147773</v>
      </c>
      <c r="F99" s="4" cm="1">
        <f t="array" aca="1" ref="F99" ca="1">_xlfn.IFS(E99&lt;2500,E99/10,AND(E99&gt;=2500,E99&lt;25000),E99/25,AND(E99&gt;=25000,E99&lt;100000),E99/50,AND(E99&gt;=100000,E99&lt;1000000),E99/100,AND(E99&gt;=1000000,E99&lt;2000000),E99/150,AND(E99&gt;=2000000,E99&lt;3000000),E99/200,E99&gt;=3000000,E99/250)</f>
        <v>1477.73</v>
      </c>
      <c r="G99" s="2" t="str" cm="1">
        <f t="array" aca="1" ref="G99" ca="1">IFERROR(_xlfn.IFS(AND(E99&lt;80000,E99&gt;15000),"MEDIUM",E99&gt;80000,"LARGE",E99&lt;15000,"SMALL"),"SMALL")</f>
        <v>LARGE</v>
      </c>
      <c r="H99" s="2" t="str">
        <f t="shared" ca="1" si="1"/>
        <v>false</v>
      </c>
      <c r="I99" s="10" cm="1" vm="391">
        <f t="array" aca="1" ref="I99" ca="1">_FV(D99,"Latitude")</f>
        <v>38.752499999999998</v>
      </c>
      <c r="J99" s="10" cm="1" vm="392">
        <f t="array" aca="1" ref="J99" ca="1">_FV(D99,"Longitude")</f>
        <v>-121.28944444443999</v>
      </c>
      <c r="K99">
        <v>2099</v>
      </c>
      <c r="L99">
        <v>723</v>
      </c>
      <c r="M99" s="2" t="s">
        <v>15</v>
      </c>
    </row>
    <row r="100" spans="1:13" x14ac:dyDescent="0.25">
      <c r="A100" s="2">
        <v>1207</v>
      </c>
      <c r="B100" s="3" t="s">
        <v>113</v>
      </c>
      <c r="C100" s="3" t="s">
        <v>14</v>
      </c>
      <c r="D100" t="e" vm="393">
        <v>#VALUE!</v>
      </c>
      <c r="E100" s="2" cm="1" vm="394">
        <f t="array" aca="1" ref="E100" ca="1">_FV(D100,"Population")</f>
        <v>524943</v>
      </c>
      <c r="F100" s="4" cm="1">
        <f t="array" aca="1" ref="F100" ca="1">_xlfn.IFS(E100&lt;2500,E100/10,AND(E100&gt;=2500,E100&lt;25000),E100/25,AND(E100&gt;=25000,E100&lt;100000),E100/50,AND(E100&gt;=100000,E100&lt;1000000),E100/100,AND(E100&gt;=1000000,E100&lt;2000000),E100/150,AND(E100&gt;=2000000,E100&lt;3000000),E100/200,E100&gt;=3000000,E100/250)</f>
        <v>5249.43</v>
      </c>
      <c r="G100" s="2" t="str" cm="1">
        <f t="array" aca="1" ref="G100" ca="1">IFERROR(_xlfn.IFS(AND(E100&lt;80000,E100&gt;15000),"MEDIUM",E100&gt;80000,"LARGE",E100&lt;15000,"SMALL"),"SMALL")</f>
        <v>LARGE</v>
      </c>
      <c r="H100" s="2" t="str">
        <f t="shared" ca="1" si="1"/>
        <v>true</v>
      </c>
      <c r="I100" s="10" cm="1" vm="395">
        <f t="array" aca="1" ref="I100" ca="1">_FV(D100,"Latitude")</f>
        <v>38.575277777777998</v>
      </c>
      <c r="J100" s="10" cm="1" vm="396">
        <f t="array" aca="1" ref="J100" ca="1">_FV(D100,"Longitude")</f>
        <v>-121.48611111111001</v>
      </c>
      <c r="K100">
        <v>2136</v>
      </c>
      <c r="L100">
        <v>682</v>
      </c>
      <c r="M100" s="2" t="s">
        <v>15</v>
      </c>
    </row>
    <row r="101" spans="1:13" x14ac:dyDescent="0.25">
      <c r="A101" s="2">
        <v>1209</v>
      </c>
      <c r="B101" t="s">
        <v>114</v>
      </c>
      <c r="C101" t="s">
        <v>14</v>
      </c>
      <c r="D101" t="e" vm="397">
        <v>#VALUE!</v>
      </c>
      <c r="E101" s="2" cm="1" vm="398">
        <f t="array" aca="1" ref="E101" ca="1">_FV(D101,"Population")</f>
        <v>163542</v>
      </c>
      <c r="F101" s="4" cm="1">
        <f t="array" aca="1" ref="F101" ca="1">_xlfn.IFS(E101&lt;2500,E101/10,AND(E101&gt;=2500,E101&lt;25000),E101/25,AND(E101&gt;=25000,E101&lt;100000),E101/50,AND(E101&gt;=100000,E101&lt;1000000),E101/100,AND(E101&gt;=1000000,E101&lt;2000000),E101/150,AND(E101&gt;=2000000,E101&lt;3000000),E101/200,E101&gt;=3000000,E101/250)</f>
        <v>1635.42</v>
      </c>
      <c r="G101" s="2" t="str" cm="1">
        <f t="array" aca="1" ref="G101" ca="1">IFERROR(_xlfn.IFS(AND(E101&lt;80000,E101&gt;15000),"MEDIUM",E101&gt;80000,"LARGE",E101&lt;15000,"SMALL"),"SMALL")</f>
        <v>LARGE</v>
      </c>
      <c r="H101" s="2" t="str">
        <f t="shared" ca="1" si="1"/>
        <v>false</v>
      </c>
      <c r="I101" s="10" cm="1" vm="399">
        <f t="array" aca="1" ref="I101" ca="1">_FV(D101,"Latitude")</f>
        <v>36.677777777777997</v>
      </c>
      <c r="J101" s="10" cm="1" vm="400">
        <f t="array" aca="1" ref="J101" ca="1">_FV(D101,"Longitude")</f>
        <v>-121.65555555556</v>
      </c>
      <c r="K101">
        <v>2524</v>
      </c>
      <c r="L101">
        <v>648</v>
      </c>
      <c r="M101" s="2" t="s">
        <v>15</v>
      </c>
    </row>
    <row r="102" spans="1:13" x14ac:dyDescent="0.25">
      <c r="A102" s="2">
        <v>1219</v>
      </c>
      <c r="B102" s="3" t="s">
        <v>115</v>
      </c>
      <c r="C102" s="3" t="s">
        <v>14</v>
      </c>
      <c r="D102" t="e" vm="401">
        <v>#VALUE!</v>
      </c>
      <c r="E102" s="2" cm="1" vm="402">
        <f t="array" aca="1" ref="E102" ca="1">_FV(D102,"Population")</f>
        <v>222101</v>
      </c>
      <c r="F102" s="4" cm="1">
        <f t="array" aca="1" ref="F102" ca="1">_xlfn.IFS(E102&lt;2500,E102/10,AND(E102&gt;=2500,E102&lt;25000),E102/25,AND(E102&gt;=25000,E102&lt;100000),E102/50,AND(E102&gt;=100000,E102&lt;1000000),E102/100,AND(E102&gt;=1000000,E102&lt;2000000),E102/150,AND(E102&gt;=2000000,E102&lt;3000000),E102/200,E102&gt;=3000000,E102/250)</f>
        <v>2221.0100000000002</v>
      </c>
      <c r="G102" s="2" t="str" cm="1">
        <f t="array" aca="1" ref="G102" ca="1">IFERROR(_xlfn.IFS(AND(E102&lt;80000,E102&gt;15000),"MEDIUM",E102&gt;80000,"LARGE",E102&lt;15000,"SMALL"),"SMALL")</f>
        <v>LARGE</v>
      </c>
      <c r="H102" s="2" t="str">
        <f t="shared" ca="1" si="1"/>
        <v>true</v>
      </c>
      <c r="I102" s="10" cm="1" vm="403">
        <f t="array" aca="1" ref="I102" ca="1">_FV(D102,"Latitude")</f>
        <v>34.129444444443997</v>
      </c>
      <c r="J102" s="10" cm="1" vm="404">
        <f t="array" aca="1" ref="J102" ca="1">_FV(D102,"Longitude")</f>
        <v>-117.29305555556</v>
      </c>
      <c r="K102">
        <v>3046</v>
      </c>
      <c r="L102">
        <v>1541</v>
      </c>
      <c r="M102" s="2" t="s">
        <v>15</v>
      </c>
    </row>
    <row r="103" spans="1:13" x14ac:dyDescent="0.25">
      <c r="A103" s="2">
        <v>1223</v>
      </c>
      <c r="B103" s="3" t="s">
        <v>116</v>
      </c>
      <c r="C103" s="3" t="s">
        <v>14</v>
      </c>
      <c r="D103" t="e" vm="405">
        <v>#VALUE!</v>
      </c>
      <c r="E103" s="2" cm="1" vm="406">
        <f t="array" aca="1" ref="E103" ca="1">_FV(D103,"Population")</f>
        <v>1386932</v>
      </c>
      <c r="F103" s="4" cm="1">
        <f t="array" aca="1" ref="F103" ca="1">_xlfn.IFS(E103&lt;2500,E103/10,AND(E103&gt;=2500,E103&lt;25000),E103/25,AND(E103&gt;=25000,E103&lt;100000),E103/50,AND(E103&gt;=100000,E103&lt;1000000),E103/100,AND(E103&gt;=1000000,E103&lt;2000000),E103/150,AND(E103&gt;=2000000,E103&lt;3000000),E103/200,E103&gt;=3000000,E103/250)</f>
        <v>9246.2133333333331</v>
      </c>
      <c r="G103" s="2" t="str" cm="1">
        <f t="array" aca="1" ref="G103" ca="1">IFERROR(_xlfn.IFS(AND(E103&lt;80000,E103&gt;15000),"MEDIUM",E103&gt;80000,"LARGE",E103&lt;15000,"SMALL"),"SMALL")</f>
        <v>LARGE</v>
      </c>
      <c r="H103" s="2" t="str">
        <f t="shared" ca="1" si="1"/>
        <v>true</v>
      </c>
      <c r="I103" s="10" cm="1" vm="407">
        <f t="array" aca="1" ref="I103" ca="1">_FV(D103,"Latitude")</f>
        <v>32.715000000000003</v>
      </c>
      <c r="J103" s="10" cm="1" vm="408">
        <f t="array" aca="1" ref="J103" ca="1">_FV(D103,"Longitude")</f>
        <v>-117.16249999999999</v>
      </c>
      <c r="K103">
        <v>3336</v>
      </c>
      <c r="L103">
        <v>1568</v>
      </c>
      <c r="M103" s="2" t="s">
        <v>15</v>
      </c>
    </row>
    <row r="104" spans="1:13" x14ac:dyDescent="0.25">
      <c r="A104" s="2">
        <v>1228</v>
      </c>
      <c r="B104" s="3" t="s">
        <v>117</v>
      </c>
      <c r="C104" s="3" t="s">
        <v>14</v>
      </c>
      <c r="D104" t="e" vm="409">
        <v>#VALUE!</v>
      </c>
      <c r="E104" s="2" cm="1" vm="410">
        <f t="array" aca="1" ref="E104" ca="1">_FV(D104,"Population")</f>
        <v>873965</v>
      </c>
      <c r="F104" s="4" cm="1">
        <f t="array" aca="1" ref="F104" ca="1">_xlfn.IFS(E104&lt;2500,E104/10,AND(E104&gt;=2500,E104&lt;25000),E104/25,AND(E104&gt;=25000,E104&lt;100000),E104/50,AND(E104&gt;=100000,E104&lt;1000000),E104/100,AND(E104&gt;=1000000,E104&lt;2000000),E104/150,AND(E104&gt;=2000000,E104&lt;3000000),E104/200,E104&gt;=3000000,E104/250)</f>
        <v>8739.65</v>
      </c>
      <c r="G104" s="2" t="str" cm="1">
        <f t="array" aca="1" ref="G104" ca="1">IFERROR(_xlfn.IFS(AND(E104&lt;80000,E104&gt;15000),"MEDIUM",E104&gt;80000,"LARGE",E104&lt;15000,"SMALL"),"SMALL")</f>
        <v>LARGE</v>
      </c>
      <c r="H104" s="2" t="str">
        <f t="shared" ca="1" si="1"/>
        <v>true</v>
      </c>
      <c r="I104" s="10" cm="1" vm="411">
        <f t="array" aca="1" ref="I104" ca="1">_FV(D104,"Latitude")</f>
        <v>37.777500000000003</v>
      </c>
      <c r="J104" s="10" cm="1" vm="412">
        <f t="array" aca="1" ref="J104" ca="1">_FV(D104,"Longitude")</f>
        <v>-122.416388888889</v>
      </c>
      <c r="K104">
        <v>2299</v>
      </c>
      <c r="L104">
        <v>492</v>
      </c>
      <c r="M104" s="2" t="s">
        <v>15</v>
      </c>
    </row>
    <row r="105" spans="1:13" x14ac:dyDescent="0.25">
      <c r="A105" s="2">
        <v>1235</v>
      </c>
      <c r="B105" s="3" t="s">
        <v>118</v>
      </c>
      <c r="C105" s="3" t="s">
        <v>14</v>
      </c>
      <c r="D105" t="e" vm="413">
        <v>#VALUE!</v>
      </c>
      <c r="E105" s="2" cm="1" vm="414">
        <f t="array" aca="1" ref="E105" ca="1">_FV(D105,"Population")</f>
        <v>1013240</v>
      </c>
      <c r="F105" s="4" cm="1">
        <f t="array" aca="1" ref="F105" ca="1">_xlfn.IFS(E105&lt;2500,E105/10,AND(E105&gt;=2500,E105&lt;25000),E105/25,AND(E105&gt;=25000,E105&lt;100000),E105/50,AND(E105&gt;=100000,E105&lt;1000000),E105/100,AND(E105&gt;=1000000,E105&lt;2000000),E105/150,AND(E105&gt;=2000000,E105&lt;3000000),E105/200,E105&gt;=3000000,E105/250)</f>
        <v>6754.9333333333334</v>
      </c>
      <c r="G105" s="2" t="str" cm="1">
        <f t="array" aca="1" ref="G105" ca="1">IFERROR(_xlfn.IFS(AND(E105&lt;80000,E105&gt;15000),"MEDIUM",E105&gt;80000,"LARGE",E105&lt;15000,"SMALL"),"SMALL")</f>
        <v>LARGE</v>
      </c>
      <c r="H105" s="2" t="str">
        <f t="shared" ca="1" si="1"/>
        <v>true</v>
      </c>
      <c r="I105" s="10" cm="1" vm="415">
        <f t="array" aca="1" ref="I105" ca="1">_FV(D105,"Latitude")</f>
        <v>37.304166666667001</v>
      </c>
      <c r="J105" s="10" cm="1" vm="416">
        <f t="array" aca="1" ref="J105" ca="1">_FV(D105,"Longitude")</f>
        <v>-121.87277777778</v>
      </c>
      <c r="K105">
        <v>2396</v>
      </c>
      <c r="L105">
        <v>603</v>
      </c>
      <c r="M105" s="2" t="s">
        <v>15</v>
      </c>
    </row>
    <row r="106" spans="1:13" x14ac:dyDescent="0.25">
      <c r="A106" s="2">
        <v>1241</v>
      </c>
      <c r="B106" s="3" t="s">
        <v>119</v>
      </c>
      <c r="C106" s="3" t="s">
        <v>14</v>
      </c>
      <c r="D106" t="e" vm="417">
        <v>#VALUE!</v>
      </c>
      <c r="E106" s="2" cm="1" vm="418">
        <f t="array" aca="1" ref="E106" ca="1">_FV(D106,"Population")</f>
        <v>47063</v>
      </c>
      <c r="F106" s="4" cm="1">
        <f t="array" aca="1" ref="F106" ca="1">_xlfn.IFS(E106&lt;2500,E106/10,AND(E106&gt;=2500,E106&lt;25000),E106/25,AND(E106&gt;=25000,E106&lt;100000),E106/50,AND(E106&gt;=100000,E106&lt;1000000),E106/100,AND(E106&gt;=1000000,E106&lt;2000000),E106/150,AND(E106&gt;=2000000,E106&lt;3000000),E106/200,E106&gt;=3000000,E106/250)</f>
        <v>941.26</v>
      </c>
      <c r="G106" s="2" t="str" cm="1">
        <f t="array" aca="1" ref="G106" ca="1">IFERROR(_xlfn.IFS(AND(E106&lt;80000,E106&gt;15000),"MEDIUM",E106&gt;80000,"LARGE",E106&lt;15000,"SMALL"),"SMALL")</f>
        <v>MEDIUM</v>
      </c>
      <c r="H106" s="2" t="str">
        <f t="shared" ca="1" si="1"/>
        <v>false</v>
      </c>
      <c r="I106" s="10" cm="1" vm="419">
        <f t="array" aca="1" ref="I106" ca="1">_FV(D106,"Latitude")</f>
        <v>35.274166666667</v>
      </c>
      <c r="J106" s="10" cm="1" vm="420">
        <f t="array" aca="1" ref="J106" ca="1">_FV(D106,"Longitude")</f>
        <v>-120.66305555556001</v>
      </c>
      <c r="K106">
        <v>2812</v>
      </c>
      <c r="L106">
        <v>851</v>
      </c>
      <c r="M106" s="2" t="s">
        <v>15</v>
      </c>
    </row>
    <row r="107" spans="1:13" x14ac:dyDescent="0.25">
      <c r="A107" s="2">
        <v>1245</v>
      </c>
      <c r="B107" s="3" t="s">
        <v>120</v>
      </c>
      <c r="C107" s="3" t="s">
        <v>14</v>
      </c>
      <c r="D107" t="e" vm="421">
        <v>#VALUE!</v>
      </c>
      <c r="E107" s="2" cm="1" vm="422">
        <f t="array" aca="1" ref="E107" ca="1">_FV(D107,"Population")</f>
        <v>105661</v>
      </c>
      <c r="F107" s="4" cm="1">
        <f t="array" aca="1" ref="F107" ca="1">_xlfn.IFS(E107&lt;2500,E107/10,AND(E107&gt;=2500,E107&lt;25000),E107/25,AND(E107&gt;=25000,E107&lt;100000),E107/50,AND(E107&gt;=100000,E107&lt;1000000),E107/100,AND(E107&gt;=1000000,E107&lt;2000000),E107/150,AND(E107&gt;=2000000,E107&lt;3000000),E107/200,E107&gt;=3000000,E107/250)</f>
        <v>1056.6099999999999</v>
      </c>
      <c r="G107" s="2" t="str" cm="1">
        <f t="array" aca="1" ref="G107" ca="1">IFERROR(_xlfn.IFS(AND(E107&lt;80000,E107&gt;15000),"MEDIUM",E107&gt;80000,"LARGE",E107&lt;15000,"SMALL"),"SMALL")</f>
        <v>LARGE</v>
      </c>
      <c r="H107" s="2" t="str">
        <f t="shared" ca="1" si="1"/>
        <v>false</v>
      </c>
      <c r="I107" s="10" cm="1" vm="423">
        <f t="array" aca="1" ref="I107" ca="1">_FV(D107,"Latitude")</f>
        <v>37.554166666667001</v>
      </c>
      <c r="J107" s="10" cm="1" vm="424">
        <f t="array" aca="1" ref="J107" ca="1">_FV(D107,"Longitude")</f>
        <v>-122.31305555556</v>
      </c>
      <c r="K107">
        <v>2345</v>
      </c>
      <c r="L107">
        <v>513</v>
      </c>
      <c r="M107" s="2" t="s">
        <v>15</v>
      </c>
    </row>
    <row r="108" spans="1:13" x14ac:dyDescent="0.25">
      <c r="A108" s="2">
        <v>1247</v>
      </c>
      <c r="B108" t="s">
        <v>121</v>
      </c>
      <c r="C108" t="s">
        <v>14</v>
      </c>
      <c r="D108" t="e" vm="425">
        <v>#VALUE!</v>
      </c>
      <c r="E108" s="2" cm="1" vm="426">
        <f t="array" aca="1" ref="E108" ca="1">_FV(D108,"Population")</f>
        <v>61271</v>
      </c>
      <c r="F108" s="4" cm="1">
        <f t="array" aca="1" ref="F108" ca="1">_xlfn.IFS(E108&lt;2500,E108/10,AND(E108&gt;=2500,E108&lt;25000),E108/25,AND(E108&gt;=25000,E108&lt;100000),E108/50,AND(E108&gt;=100000,E108&lt;1000000),E108/100,AND(E108&gt;=1000000,E108&lt;2000000),E108/150,AND(E108&gt;=2000000,E108&lt;3000000),E108/200,E108&gt;=3000000,E108/250)</f>
        <v>1225.42</v>
      </c>
      <c r="G108" s="2" t="str" cm="1">
        <f t="array" aca="1" ref="G108" ca="1">IFERROR(_xlfn.IFS(AND(E108&lt;80000,E108&gt;15000),"MEDIUM",E108&gt;80000,"LARGE",E108&lt;15000,"SMALL"),"SMALL")</f>
        <v>MEDIUM</v>
      </c>
      <c r="H108" s="2" t="str">
        <f t="shared" ca="1" si="1"/>
        <v>false</v>
      </c>
      <c r="I108" s="10" cm="1" vm="427">
        <f t="array" aca="1" ref="I108" ca="1">_FV(D108,"Latitude")</f>
        <v>37.973611111110998</v>
      </c>
      <c r="J108" s="10" cm="1" vm="428">
        <f t="array" aca="1" ref="J108" ca="1">_FV(D108,"Longitude")</f>
        <v>-122.53111111110999</v>
      </c>
      <c r="K108">
        <v>2259</v>
      </c>
      <c r="L108">
        <v>468</v>
      </c>
      <c r="M108" s="2" t="s">
        <v>15</v>
      </c>
    </row>
    <row r="109" spans="1:13" x14ac:dyDescent="0.25">
      <c r="A109" s="2">
        <v>1249</v>
      </c>
      <c r="B109" s="8" t="s">
        <v>122</v>
      </c>
      <c r="C109" s="3" t="s">
        <v>14</v>
      </c>
      <c r="D109" t="e" vm="429">
        <v>#VALUE!</v>
      </c>
      <c r="E109" s="2" cm="1" vm="430">
        <f t="array" aca="1" ref="E109" ca="1">_FV(D109,"Population")</f>
        <v>445</v>
      </c>
      <c r="F109" s="4" cm="1">
        <f t="array" aca="1" ref="F109" ca="1">_xlfn.IFS(E109&lt;2500,E109/10,AND(E109&gt;=2500,E109&lt;25000),E109/25,AND(E109&gt;=25000,E109&lt;100000),E109/50,AND(E109&gt;=100000,E109&lt;1000000),E109/100,AND(E109&gt;=1000000,E109&lt;2000000),E109/150,AND(E109&gt;=2000000,E109&lt;3000000),E109/200,E109&gt;=3000000,E109/250)</f>
        <v>44.5</v>
      </c>
      <c r="G109" s="2" t="str" cm="1">
        <f t="array" aca="1" ref="G109" ca="1">IFERROR(_xlfn.IFS(AND(E109&lt;80000,E109&gt;15000),"MEDIUM",E109&gt;80000,"LARGE",E109&lt;15000,"SMALL"),"SMALL")</f>
        <v>SMALL</v>
      </c>
      <c r="H109" s="2" t="str">
        <f t="shared" ca="1" si="1"/>
        <v>false</v>
      </c>
      <c r="I109" s="10" cm="1" vm="431">
        <f t="array" aca="1" ref="I109" ca="1">_FV(D109,"Latitude")</f>
        <v>35.643888888889002</v>
      </c>
      <c r="J109" s="10" cm="1" vm="432">
        <f t="array" aca="1" ref="J109" ca="1">_FV(D109,"Longitude")</f>
        <v>-121.18972222222</v>
      </c>
      <c r="K109" s="9">
        <v>2736</v>
      </c>
      <c r="L109" s="9">
        <v>743</v>
      </c>
      <c r="M109" s="2" t="s">
        <v>15</v>
      </c>
    </row>
    <row r="110" spans="1:13" x14ac:dyDescent="0.25">
      <c r="A110" s="2">
        <v>1253</v>
      </c>
      <c r="B110" s="3" t="s">
        <v>123</v>
      </c>
      <c r="C110" s="3" t="s">
        <v>14</v>
      </c>
      <c r="D110" t="e" vm="433">
        <v>#VALUE!</v>
      </c>
      <c r="E110" s="2" cm="1" vm="434">
        <f t="array" aca="1" ref="E110" ca="1">_FV(D110,"Population")</f>
        <v>310227</v>
      </c>
      <c r="F110" s="4" cm="1">
        <f t="array" aca="1" ref="F110" ca="1">_xlfn.IFS(E110&lt;2500,E110/10,AND(E110&gt;=2500,E110&lt;25000),E110/25,AND(E110&gt;=25000,E110&lt;100000),E110/50,AND(E110&gt;=100000,E110&lt;1000000),E110/100,AND(E110&gt;=1000000,E110&lt;2000000),E110/150,AND(E110&gt;=2000000,E110&lt;3000000),E110/200,E110&gt;=3000000,E110/250)</f>
        <v>3102.27</v>
      </c>
      <c r="G110" s="2" t="str" cm="1">
        <f t="array" aca="1" ref="G110" ca="1">IFERROR(_xlfn.IFS(AND(E110&lt;80000,E110&gt;15000),"MEDIUM",E110&gt;80000,"LARGE",E110&lt;15000,"SMALL"),"SMALL")</f>
        <v>LARGE</v>
      </c>
      <c r="H110" s="2" t="str">
        <f t="shared" ca="1" si="1"/>
        <v>true</v>
      </c>
      <c r="I110" s="10" cm="1" vm="435">
        <f t="array" aca="1" ref="I110" ca="1">_FV(D110,"Latitude")</f>
        <v>33.740833333333001</v>
      </c>
      <c r="J110" s="10" cm="1" vm="436">
        <f t="array" aca="1" ref="J110" ca="1">_FV(D110,"Longitude")</f>
        <v>-117.88138888889</v>
      </c>
      <c r="K110">
        <v>3126</v>
      </c>
      <c r="L110">
        <v>1421</v>
      </c>
      <c r="M110" s="2" t="s">
        <v>15</v>
      </c>
    </row>
    <row r="111" spans="1:13" x14ac:dyDescent="0.25">
      <c r="A111" s="2">
        <v>1254</v>
      </c>
      <c r="B111" s="3" t="s">
        <v>124</v>
      </c>
      <c r="C111" s="3" t="s">
        <v>14</v>
      </c>
      <c r="D111" t="e" vm="437">
        <v>#VALUE!</v>
      </c>
      <c r="E111" s="2" cm="1" vm="438">
        <f t="array" aca="1" ref="E111" ca="1">_FV(D111,"Population")</f>
        <v>88665</v>
      </c>
      <c r="F111" s="4" cm="1">
        <f t="array" aca="1" ref="F111" ca="1">_xlfn.IFS(E111&lt;2500,E111/10,AND(E111&gt;=2500,E111&lt;25000),E111/25,AND(E111&gt;=25000,E111&lt;100000),E111/50,AND(E111&gt;=100000,E111&lt;1000000),E111/100,AND(E111&gt;=1000000,E111&lt;2000000),E111/150,AND(E111&gt;=2000000,E111&lt;3000000),E111/200,E111&gt;=3000000,E111/250)</f>
        <v>1773.3</v>
      </c>
      <c r="G111" s="2" t="str" cm="1">
        <f t="array" aca="1" ref="G111" ca="1">IFERROR(_xlfn.IFS(AND(E111&lt;80000,E111&gt;15000),"MEDIUM",E111&gt;80000,"LARGE",E111&lt;15000,"SMALL"),"SMALL")</f>
        <v>LARGE</v>
      </c>
      <c r="H111" s="2" t="str">
        <f t="shared" ca="1" si="1"/>
        <v>false</v>
      </c>
      <c r="I111" s="10" cm="1" vm="439">
        <f t="array" aca="1" ref="I111" ca="1">_FV(D111,"Latitude")</f>
        <v>34.425833333333003</v>
      </c>
      <c r="J111" s="10" cm="1" vm="440">
        <f t="array" aca="1" ref="J111" ca="1">_FV(D111,"Longitude")</f>
        <v>-119.71416666667</v>
      </c>
      <c r="K111">
        <v>2985</v>
      </c>
      <c r="L111">
        <v>1045</v>
      </c>
      <c r="M111" s="2" t="s">
        <v>15</v>
      </c>
    </row>
    <row r="112" spans="1:13" x14ac:dyDescent="0.25">
      <c r="A112" s="2">
        <v>1256</v>
      </c>
      <c r="B112" s="3" t="s">
        <v>125</v>
      </c>
      <c r="C112" s="3" t="s">
        <v>14</v>
      </c>
      <c r="D112" t="e" vm="441">
        <v>#VALUE!</v>
      </c>
      <c r="E112" s="2" cm="1" vm="442">
        <f t="array" aca="1" ref="E112" ca="1">_FV(D112,"Population")</f>
        <v>228673</v>
      </c>
      <c r="F112" s="4" cm="1">
        <f t="array" aca="1" ref="F112" ca="1">_xlfn.IFS(E112&lt;2500,E112/10,AND(E112&gt;=2500,E112&lt;25000),E112/25,AND(E112&gt;=25000,E112&lt;100000),E112/50,AND(E112&gt;=100000,E112&lt;1000000),E112/100,AND(E112&gt;=1000000,E112&lt;2000000),E112/150,AND(E112&gt;=2000000,E112&lt;3000000),E112/200,E112&gt;=3000000,E112/250)</f>
        <v>2286.73</v>
      </c>
      <c r="G112" s="2" t="str" cm="1">
        <f t="array" aca="1" ref="G112" ca="1">IFERROR(_xlfn.IFS(AND(E112&lt;80000,E112&gt;15000),"MEDIUM",E112&gt;80000,"LARGE",E112&lt;15000,"SMALL"),"SMALL")</f>
        <v>LARGE</v>
      </c>
      <c r="H112" s="2" t="str">
        <f t="shared" ca="1" si="1"/>
        <v>true</v>
      </c>
      <c r="I112" s="10" cm="1" vm="443">
        <f t="array" aca="1" ref="I112" ca="1">_FV(D112,"Latitude")</f>
        <v>34.3916641</v>
      </c>
      <c r="J112" s="10" cm="1" vm="444">
        <f t="array" aca="1" ref="J112" ca="1">_FV(D112,"Longitude")</f>
        <v>-118.542586</v>
      </c>
      <c r="K112">
        <v>2992</v>
      </c>
      <c r="L112">
        <v>1285</v>
      </c>
      <c r="M112" s="2" t="s">
        <v>15</v>
      </c>
    </row>
    <row r="113" spans="1:13" x14ac:dyDescent="0.25">
      <c r="A113" s="2">
        <v>1257</v>
      </c>
      <c r="B113" s="3" t="s">
        <v>126</v>
      </c>
      <c r="C113" s="3" t="s">
        <v>14</v>
      </c>
      <c r="D113" t="e" vm="445">
        <v>#VALUE!</v>
      </c>
      <c r="E113" s="2" cm="1" vm="446">
        <f t="array" aca="1" ref="E113" ca="1">_FV(D113,"Population")</f>
        <v>62956</v>
      </c>
      <c r="F113" s="4" cm="1">
        <f t="array" aca="1" ref="F113" ca="1">_xlfn.IFS(E113&lt;2500,E113/10,AND(E113&gt;=2500,E113&lt;25000),E113/25,AND(E113&gt;=25000,E113&lt;100000),E113/50,AND(E113&gt;=100000,E113&lt;1000000),E113/100,AND(E113&gt;=1000000,E113&lt;2000000),E113/150,AND(E113&gt;=2000000,E113&lt;3000000),E113/200,E113&gt;=3000000,E113/250)</f>
        <v>1259.1199999999999</v>
      </c>
      <c r="G113" s="2" t="str" cm="1">
        <f t="array" aca="1" ref="G113" ca="1">IFERROR(_xlfn.IFS(AND(E113&lt;80000,E113&gt;15000),"MEDIUM",E113&gt;80000,"LARGE",E113&lt;15000,"SMALL"),"SMALL")</f>
        <v>MEDIUM</v>
      </c>
      <c r="H113" s="2" t="str">
        <f t="shared" ca="1" si="1"/>
        <v>false</v>
      </c>
      <c r="I113" s="10" cm="1" vm="447">
        <f t="array" aca="1" ref="I113" ca="1">_FV(D113,"Latitude")</f>
        <v>36.972050000000003</v>
      </c>
      <c r="J113" s="10" cm="1" vm="448">
        <f t="array" aca="1" ref="J113" ca="1">_FV(D113,"Longitude")</f>
        <v>-122.026252</v>
      </c>
      <c r="K113">
        <v>2464</v>
      </c>
      <c r="L113">
        <v>572</v>
      </c>
      <c r="M113" s="2" t="s">
        <v>15</v>
      </c>
    </row>
    <row r="114" spans="1:13" x14ac:dyDescent="0.25">
      <c r="A114" s="2">
        <v>1260</v>
      </c>
      <c r="B114" s="3" t="s">
        <v>127</v>
      </c>
      <c r="C114" s="3" t="s">
        <v>14</v>
      </c>
      <c r="D114" t="e" vm="449">
        <v>#VALUE!</v>
      </c>
      <c r="E114" s="2" cm="1" vm="450">
        <f t="array" aca="1" ref="E114" ca="1">_FV(D114,"Population")</f>
        <v>109707</v>
      </c>
      <c r="F114" s="4" cm="1">
        <f t="array" aca="1" ref="F114" ca="1">_xlfn.IFS(E114&lt;2500,E114/10,AND(E114&gt;=2500,E114&lt;25000),E114/25,AND(E114&gt;=25000,E114&lt;100000),E114/50,AND(E114&gt;=100000,E114&lt;1000000),E114/100,AND(E114&gt;=1000000,E114&lt;2000000),E114/150,AND(E114&gt;=2000000,E114&lt;3000000),E114/200,E114&gt;=3000000,E114/250)</f>
        <v>1097.07</v>
      </c>
      <c r="G114" s="2" t="str" cm="1">
        <f t="array" aca="1" ref="G114" ca="1">IFERROR(_xlfn.IFS(AND(E114&lt;80000,E114&gt;15000),"MEDIUM",E114&gt;80000,"LARGE",E114&lt;15000,"SMALL"),"SMALL")</f>
        <v>LARGE</v>
      </c>
      <c r="H114" s="2" t="str">
        <f t="shared" ca="1" si="1"/>
        <v>false</v>
      </c>
      <c r="I114" s="10" cm="1" vm="451">
        <f t="array" aca="1" ref="I114" ca="1">_FV(D114,"Latitude")</f>
        <v>34.951388888888999</v>
      </c>
      <c r="J114" s="10" cm="1" vm="452">
        <f t="array" aca="1" ref="J114" ca="1">_FV(D114,"Longitude")</f>
        <v>-120.43333333333</v>
      </c>
      <c r="K114">
        <v>2878</v>
      </c>
      <c r="L114">
        <v>898</v>
      </c>
      <c r="M114" s="2" t="s">
        <v>15</v>
      </c>
    </row>
    <row r="115" spans="1:13" x14ac:dyDescent="0.25">
      <c r="A115" s="2">
        <v>1264</v>
      </c>
      <c r="B115" s="3" t="s">
        <v>128</v>
      </c>
      <c r="C115" s="3" t="s">
        <v>14</v>
      </c>
      <c r="D115" t="e" vm="453">
        <v>#VALUE!</v>
      </c>
      <c r="E115" s="2" cm="1" vm="454">
        <f t="array" aca="1" ref="E115" ca="1">_FV(D115,"Population")</f>
        <v>178127</v>
      </c>
      <c r="F115" s="4" cm="1">
        <f t="array" aca="1" ref="F115" ca="1">_xlfn.IFS(E115&lt;2500,E115/10,AND(E115&gt;=2500,E115&lt;25000),E115/25,AND(E115&gt;=25000,E115&lt;100000),E115/50,AND(E115&gt;=100000,E115&lt;1000000),E115/100,AND(E115&gt;=1000000,E115&lt;2000000),E115/150,AND(E115&gt;=2000000,E115&lt;3000000),E115/200,E115&gt;=3000000,E115/250)</f>
        <v>1781.27</v>
      </c>
      <c r="G115" s="2" t="str" cm="1">
        <f t="array" aca="1" ref="G115" ca="1">IFERROR(_xlfn.IFS(AND(E115&lt;80000,E115&gt;15000),"MEDIUM",E115&gt;80000,"LARGE",E115&lt;15000,"SMALL"),"SMALL")</f>
        <v>LARGE</v>
      </c>
      <c r="H115" s="2" t="str">
        <f t="shared" ca="1" si="1"/>
        <v>false</v>
      </c>
      <c r="I115" s="10" cm="1" vm="455">
        <f t="array" aca="1" ref="I115" ca="1">_FV(D115,"Latitude")</f>
        <v>38.448611111110999</v>
      </c>
      <c r="J115" s="10" cm="1" vm="456">
        <f t="array" aca="1" ref="J115" ca="1">_FV(D115,"Longitude")</f>
        <v>-122.70472222222</v>
      </c>
      <c r="K115">
        <v>2161</v>
      </c>
      <c r="L115">
        <v>433</v>
      </c>
      <c r="M115" s="2" t="s">
        <v>15</v>
      </c>
    </row>
    <row r="116" spans="1:13" x14ac:dyDescent="0.25">
      <c r="A116" s="2">
        <v>1309</v>
      </c>
      <c r="B116" s="3" t="s">
        <v>129</v>
      </c>
      <c r="C116" s="3" t="s">
        <v>14</v>
      </c>
      <c r="D116" t="e" vm="457">
        <v>#VALUE!</v>
      </c>
      <c r="E116" s="2" cm="1" vm="458">
        <f t="array" aca="1" ref="E116" ca="1">_FV(D116,"Population")</f>
        <v>126356</v>
      </c>
      <c r="F116" s="4" cm="1">
        <f t="array" aca="1" ref="F116" ca="1">_xlfn.IFS(E116&lt;2500,E116/10,AND(E116&gt;=2500,E116&lt;25000),E116/25,AND(E116&gt;=25000,E116&lt;100000),E116/50,AND(E116&gt;=100000,E116&lt;1000000),E116/100,AND(E116&gt;=1000000,E116&lt;2000000),E116/150,AND(E116&gt;=2000000,E116&lt;3000000),E116/200,E116&gt;=3000000,E116/250)</f>
        <v>1263.56</v>
      </c>
      <c r="G116" s="2" t="str" cm="1">
        <f t="array" aca="1" ref="G116" ca="1">IFERROR(_xlfn.IFS(AND(E116&lt;80000,E116&gt;15000),"MEDIUM",E116&gt;80000,"LARGE",E116&lt;15000,"SMALL"),"SMALL")</f>
        <v>LARGE</v>
      </c>
      <c r="H116" s="2" t="str">
        <f t="shared" ca="1" si="1"/>
        <v>false</v>
      </c>
      <c r="I116" s="10" cm="1" vm="459">
        <f t="array" aca="1" ref="I116" ca="1">_FV(D116,"Latitude")</f>
        <v>34.270833000000003</v>
      </c>
      <c r="J116" s="10" cm="1" vm="460">
        <f t="array" aca="1" ref="J116" ca="1">_FV(D116,"Longitude")</f>
        <v>-118.73916699999999</v>
      </c>
      <c r="K116">
        <v>3017</v>
      </c>
      <c r="L116">
        <v>1245</v>
      </c>
      <c r="M116" s="2" t="s">
        <v>15</v>
      </c>
    </row>
    <row r="117" spans="1:13" x14ac:dyDescent="0.25">
      <c r="A117" s="2">
        <v>1320</v>
      </c>
      <c r="B117" s="3" t="s">
        <v>130</v>
      </c>
      <c r="C117" s="3" t="s">
        <v>14</v>
      </c>
      <c r="D117" t="e" vm="461">
        <v>#VALUE!</v>
      </c>
      <c r="E117" s="2" cm="1" vm="462">
        <f t="array" aca="1" ref="E117" ca="1">_FV(D117,"Population")</f>
        <v>24925</v>
      </c>
      <c r="F117" s="4" cm="1">
        <f t="array" aca="1" ref="F117" ca="1">_xlfn.IFS(E117&lt;2500,E117/10,AND(E117&gt;=2500,E117&lt;25000),E117/25,AND(E117&gt;=25000,E117&lt;100000),E117/50,AND(E117&gt;=100000,E117&lt;1000000),E117/100,AND(E117&gt;=1000000,E117&lt;2000000),E117/150,AND(E117&gt;=2000000,E117&lt;3000000),E117/200,E117&gt;=3000000,E117/250)</f>
        <v>997</v>
      </c>
      <c r="G117" s="2" t="str" cm="1">
        <f t="array" aca="1" ref="G117" ca="1">IFERROR(_xlfn.IFS(AND(E117&lt;80000,E117&gt;15000),"MEDIUM",E117&gt;80000,"LARGE",E117&lt;15000,"SMALL"),"SMALL")</f>
        <v>MEDIUM</v>
      </c>
      <c r="H117" s="2" t="str">
        <f t="shared" ca="1" si="1"/>
        <v>false</v>
      </c>
      <c r="I117" s="10" cm="1" vm="463">
        <f t="array" aca="1" ref="I117" ca="1">_FV(D117,"Latitude")</f>
        <v>36.424722222222002</v>
      </c>
      <c r="J117" s="10" cm="1" vm="464">
        <f t="array" aca="1" ref="J117" ca="1">_FV(D117,"Longitude")</f>
        <v>-121.32638888888999</v>
      </c>
      <c r="K117">
        <v>2576</v>
      </c>
      <c r="L117">
        <v>715</v>
      </c>
      <c r="M117" s="2" t="s">
        <v>15</v>
      </c>
    </row>
    <row r="118" spans="1:13" x14ac:dyDescent="0.25">
      <c r="A118" s="2">
        <v>1325</v>
      </c>
      <c r="B118" s="3" t="s">
        <v>131</v>
      </c>
      <c r="C118" s="3" t="s">
        <v>14</v>
      </c>
      <c r="D118" t="e" vm="465">
        <v>#VALUE!</v>
      </c>
      <c r="E118" s="2" cm="1" vm="466">
        <f t="array" aca="1" ref="E118" ca="1">_FV(D118,"Population")</f>
        <v>5003</v>
      </c>
      <c r="F118" s="4" cm="1">
        <f t="array" aca="1" ref="F118" ca="1">_xlfn.IFS(E118&lt;2500,E118/10,AND(E118&gt;=2500,E118&lt;25000),E118/25,AND(E118&gt;=25000,E118&lt;100000),E118/50,AND(E118&gt;=100000,E118&lt;1000000),E118/100,AND(E118&gt;=1000000,E118&lt;2000000),E118/150,AND(E118&gt;=2000000,E118&lt;3000000),E118/200,E118&gt;=3000000,E118/250)</f>
        <v>200.12</v>
      </c>
      <c r="G118" s="2" t="str" cm="1">
        <f t="array" aca="1" ref="G118" ca="1">IFERROR(_xlfn.IFS(AND(E118&lt;80000,E118&gt;15000),"MEDIUM",E118&gt;80000,"LARGE",E118&lt;15000,"SMALL"),"SMALL")</f>
        <v>SMALL</v>
      </c>
      <c r="H118" s="2" t="str">
        <f t="shared" ca="1" si="1"/>
        <v>false</v>
      </c>
      <c r="I118" s="10" cm="1" vm="467">
        <f t="array" aca="1" ref="I118" ca="1">_FV(D118,"Latitude")</f>
        <v>37.984444444444001</v>
      </c>
      <c r="J118" s="10" cm="1" vm="468">
        <f t="array" aca="1" ref="J118" ca="1">_FV(D118,"Longitude")</f>
        <v>-120.38166666667</v>
      </c>
      <c r="K118">
        <v>2257</v>
      </c>
      <c r="L118">
        <v>909</v>
      </c>
      <c r="M118" s="2" t="s">
        <v>15</v>
      </c>
    </row>
    <row r="119" spans="1:13" x14ac:dyDescent="0.25">
      <c r="A119" s="2">
        <v>1331</v>
      </c>
      <c r="B119" s="3" t="s">
        <v>132</v>
      </c>
      <c r="C119" s="3" t="s">
        <v>14</v>
      </c>
      <c r="D119" t="e" vm="469">
        <v>#VALUE!</v>
      </c>
      <c r="E119" s="2" cm="1" vm="470">
        <f t="array" aca="1" ref="E119" ca="1">_FV(D119,"Population")</f>
        <v>21330</v>
      </c>
      <c r="F119" s="4" cm="1">
        <f t="array" aca="1" ref="F119" ca="1">_xlfn.IFS(E119&lt;2500,E119/10,AND(E119&gt;=2500,E119&lt;25000),E119/25,AND(E119&gt;=25000,E119&lt;100000),E119/50,AND(E119&gt;=100000,E119&lt;1000000),E119/100,AND(E119&gt;=1000000,E119&lt;2000000),E119/150,AND(E119&gt;=2000000,E119&lt;3000000),E119/200,E119&gt;=3000000,E119/250)</f>
        <v>853.2</v>
      </c>
      <c r="G119" s="2" t="str" cm="1">
        <f t="array" aca="1" ref="G119" ca="1">IFERROR(_xlfn.IFS(AND(E119&lt;80000,E119&gt;15000),"MEDIUM",E119&gt;80000,"LARGE",E119&lt;15000,"SMALL"),"SMALL")</f>
        <v>MEDIUM</v>
      </c>
      <c r="H119" s="2" t="str">
        <f t="shared" ca="1" si="1"/>
        <v>false</v>
      </c>
      <c r="I119" s="10" cm="1" vm="471">
        <f t="array" aca="1" ref="I119" ca="1">_FV(D119,"Latitude")</f>
        <v>38.94</v>
      </c>
      <c r="J119" s="10" cm="1" vm="472">
        <f t="array" aca="1" ref="J119" ca="1">_FV(D119,"Longitude")</f>
        <v>-119.97694444443999</v>
      </c>
      <c r="K119">
        <v>2061</v>
      </c>
      <c r="L119">
        <v>991</v>
      </c>
      <c r="M119" s="2" t="s">
        <v>15</v>
      </c>
    </row>
    <row r="120" spans="1:13" x14ac:dyDescent="0.25">
      <c r="A120" s="2">
        <v>1355</v>
      </c>
      <c r="B120" s="3" t="s">
        <v>133</v>
      </c>
      <c r="C120" s="3" t="s">
        <v>14</v>
      </c>
      <c r="D120" t="e" vm="473">
        <v>#VALUE!</v>
      </c>
      <c r="E120" s="2" cm="1" vm="474">
        <f t="array" aca="1" ref="E120" ca="1">_FV(D120,"Population")</f>
        <v>320804</v>
      </c>
      <c r="F120" s="4" cm="1">
        <f t="array" aca="1" ref="F120" ca="1">_xlfn.IFS(E120&lt;2500,E120/10,AND(E120&gt;=2500,E120&lt;25000),E120/25,AND(E120&gt;=25000,E120&lt;100000),E120/50,AND(E120&gt;=100000,E120&lt;1000000),E120/100,AND(E120&gt;=1000000,E120&lt;2000000),E120/150,AND(E120&gt;=2000000,E120&lt;3000000),E120/200,E120&gt;=3000000,E120/250)</f>
        <v>3208.04</v>
      </c>
      <c r="G120" s="2" t="str" cm="1">
        <f t="array" aca="1" ref="G120" ca="1">IFERROR(_xlfn.IFS(AND(E120&lt;80000,E120&gt;15000),"MEDIUM",E120&gt;80000,"LARGE",E120&lt;15000,"SMALL"),"SMALL")</f>
        <v>LARGE</v>
      </c>
      <c r="H120" s="2" t="str">
        <f t="shared" ca="1" si="1"/>
        <v>true</v>
      </c>
      <c r="I120" s="10" cm="1" vm="475">
        <f t="array" aca="1" ref="I120" ca="1">_FV(D120,"Latitude")</f>
        <v>37.975555555555999</v>
      </c>
      <c r="J120" s="10" cm="1" vm="476">
        <f t="array" aca="1" ref="J120" ca="1">_FV(D120,"Longitude")</f>
        <v>-121.30083333333</v>
      </c>
      <c r="K120">
        <v>2258</v>
      </c>
      <c r="L120">
        <v>720</v>
      </c>
      <c r="M120" s="2" t="s">
        <v>15</v>
      </c>
    </row>
    <row r="121" spans="1:13" x14ac:dyDescent="0.25">
      <c r="A121" s="2">
        <v>1371</v>
      </c>
      <c r="B121" s="3" t="s">
        <v>134</v>
      </c>
      <c r="C121" s="3" t="s">
        <v>14</v>
      </c>
      <c r="D121" t="e" vm="477">
        <v>#VALUE!</v>
      </c>
      <c r="E121" s="2" cm="1" vm="478">
        <f t="array" aca="1" ref="E121" ca="1">_FV(D121,"Population")</f>
        <v>155805</v>
      </c>
      <c r="F121" s="4" cm="1">
        <f t="array" aca="1" ref="F121" ca="1">_xlfn.IFS(E121&lt;2500,E121/10,AND(E121&gt;=2500,E121&lt;25000),E121/25,AND(E121&gt;=25000,E121&lt;100000),E121/50,AND(E121&gt;=100000,E121&lt;1000000),E121/100,AND(E121&gt;=1000000,E121&lt;2000000),E121/150,AND(E121&gt;=2000000,E121&lt;3000000),E121/200,E121&gt;=3000000,E121/250)</f>
        <v>1558.05</v>
      </c>
      <c r="G121" s="2" t="str" cm="1">
        <f t="array" aca="1" ref="G121" ca="1">IFERROR(_xlfn.IFS(AND(E121&lt;80000,E121&gt;15000),"MEDIUM",E121&gt;80000,"LARGE",E121&lt;15000,"SMALL"),"SMALL")</f>
        <v>LARGE</v>
      </c>
      <c r="H121" s="2" t="str">
        <f t="shared" ca="1" si="1"/>
        <v>false</v>
      </c>
      <c r="I121" s="10" cm="1" vm="479">
        <f t="array" aca="1" ref="I121" ca="1">_FV(D121,"Latitude")</f>
        <v>37.368888888889003</v>
      </c>
      <c r="J121" s="10" cm="1" vm="480">
        <f t="array" aca="1" ref="J121" ca="1">_FV(D121,"Longitude")</f>
        <v>-122.03694444444</v>
      </c>
      <c r="K121">
        <v>2383</v>
      </c>
      <c r="L121">
        <v>570</v>
      </c>
      <c r="M121" s="2" t="s">
        <v>15</v>
      </c>
    </row>
    <row r="122" spans="1:13" x14ac:dyDescent="0.25">
      <c r="A122" s="2">
        <v>1373</v>
      </c>
      <c r="B122" s="3" t="s">
        <v>135</v>
      </c>
      <c r="C122" s="3" t="s">
        <v>14</v>
      </c>
      <c r="D122" t="e" vm="481">
        <v>#VALUE!</v>
      </c>
      <c r="E122" s="2" cm="1" vm="482">
        <f t="array" aca="1" ref="E122" ca="1">_FV(D122,"Population")</f>
        <v>16728</v>
      </c>
      <c r="F122" s="4" cm="1">
        <f t="array" aca="1" ref="F122" ca="1">_xlfn.IFS(E122&lt;2500,E122/10,AND(E122&gt;=2500,E122&lt;25000),E122/25,AND(E122&gt;=25000,E122&lt;100000),E122/50,AND(E122&gt;=100000,E122&lt;1000000),E122/100,AND(E122&gt;=1000000,E122&lt;2000000),E122/150,AND(E122&gt;=2000000,E122&lt;3000000),E122/200,E122&gt;=3000000,E122/250)</f>
        <v>669.12</v>
      </c>
      <c r="G122" s="2" t="str" cm="1">
        <f t="array" aca="1" ref="G122" ca="1">IFERROR(_xlfn.IFS(AND(E122&lt;80000,E122&gt;15000),"MEDIUM",E122&gt;80000,"LARGE",E122&lt;15000,"SMALL"),"SMALL")</f>
        <v>MEDIUM</v>
      </c>
      <c r="H122" s="2" t="str">
        <f t="shared" ca="1" si="1"/>
        <v>false</v>
      </c>
      <c r="I122" s="10" cm="1" vm="483">
        <f t="array" aca="1" ref="I122" ca="1">_FV(D122,"Latitude")</f>
        <v>40.417222222222001</v>
      </c>
      <c r="J122" s="10" cm="1" vm="484">
        <f t="array" aca="1" ref="J122" ca="1">_FV(D122,"Longitude")</f>
        <v>-120.64611111111</v>
      </c>
      <c r="K122">
        <v>1758</v>
      </c>
      <c r="L122">
        <v>854</v>
      </c>
      <c r="M122" s="2" t="s">
        <v>15</v>
      </c>
    </row>
    <row r="123" spans="1:13" x14ac:dyDescent="0.25">
      <c r="A123" s="2">
        <v>1390</v>
      </c>
      <c r="B123" s="3" t="s">
        <v>136</v>
      </c>
      <c r="C123" s="3" t="s">
        <v>14</v>
      </c>
      <c r="D123" t="e" vm="485">
        <v>#VALUE!</v>
      </c>
      <c r="E123" s="2" cm="1" vm="486">
        <f t="array" aca="1" ref="E123" ca="1">_FV(D123,"Population")</f>
        <v>12939</v>
      </c>
      <c r="F123" s="4" cm="1">
        <f t="array" aca="1" ref="F123" ca="1">_xlfn.IFS(E123&lt;2500,E123/10,AND(E123&gt;=2500,E123&lt;25000),E123/25,AND(E123&gt;=25000,E123&lt;100000),E123/50,AND(E123&gt;=100000,E123&lt;1000000),E123/100,AND(E123&gt;=1000000,E123&lt;2000000),E123/150,AND(E123&gt;=2000000,E123&lt;3000000),E123/200,E123&gt;=3000000,E123/250)</f>
        <v>517.55999999999995</v>
      </c>
      <c r="G123" s="2" t="str" cm="1">
        <f t="array" aca="1" ref="G123" ca="1">IFERROR(_xlfn.IFS(AND(E123&lt;80000,E123&gt;15000),"MEDIUM",E123&gt;80000,"LARGE",E123&lt;15000,"SMALL"),"SMALL")</f>
        <v>SMALL</v>
      </c>
      <c r="H123" s="2" t="str">
        <f t="shared" ca="1" si="1"/>
        <v>false</v>
      </c>
      <c r="I123" s="10" cm="1" vm="487">
        <f t="array" aca="1" ref="I123" ca="1">_FV(D123,"Latitude")</f>
        <v>35.132222222221998</v>
      </c>
      <c r="J123" s="10" cm="1" vm="488">
        <f t="array" aca="1" ref="J123" ca="1">_FV(D123,"Longitude")</f>
        <v>-118.44888888889</v>
      </c>
      <c r="K123">
        <v>2841</v>
      </c>
      <c r="L123">
        <v>1304</v>
      </c>
      <c r="M123" s="2" t="s">
        <v>15</v>
      </c>
    </row>
    <row r="124" spans="1:13" x14ac:dyDescent="0.25">
      <c r="A124" s="2">
        <v>1392</v>
      </c>
      <c r="B124" s="3" t="s">
        <v>137</v>
      </c>
      <c r="C124" s="3" t="s">
        <v>14</v>
      </c>
      <c r="D124" t="e" vm="489">
        <v>#VALUE!</v>
      </c>
      <c r="E124" s="2" cm="1" vm="490">
        <f t="array" aca="1" ref="E124" ca="1">_FV(D124,"Population")</f>
        <v>110003</v>
      </c>
      <c r="F124" s="4" cm="1">
        <f t="array" aca="1" ref="F124" ca="1">_xlfn.IFS(E124&lt;2500,E124/10,AND(E124&gt;=2500,E124&lt;25000),E124/25,AND(E124&gt;=25000,E124&lt;100000),E124/50,AND(E124&gt;=100000,E124&lt;1000000),E124/100,AND(E124&gt;=1000000,E124&lt;2000000),E124/150,AND(E124&gt;=2000000,E124&lt;3000000),E124/200,E124&gt;=3000000,E124/250)</f>
        <v>1100.03</v>
      </c>
      <c r="G124" s="2" t="str" cm="1">
        <f t="array" aca="1" ref="G124" ca="1">IFERROR(_xlfn.IFS(AND(E124&lt;80000,E124&gt;15000),"MEDIUM",E124&gt;80000,"LARGE",E124&lt;15000,"SMALL"),"SMALL")</f>
        <v>LARGE</v>
      </c>
      <c r="H124" s="2" t="str">
        <f t="shared" ca="1" si="1"/>
        <v>false</v>
      </c>
      <c r="I124" s="10" cm="1" vm="491">
        <f t="array" aca="1" ref="I124" ca="1">_FV(D124,"Latitude")</f>
        <v>33.503333333333003</v>
      </c>
      <c r="J124" s="10" cm="1" vm="492">
        <f t="array" aca="1" ref="J124" ca="1">_FV(D124,"Longitude")</f>
        <v>-117.12361111110999</v>
      </c>
      <c r="K124">
        <v>3174</v>
      </c>
      <c r="L124">
        <v>1576</v>
      </c>
      <c r="M124" s="2" t="s">
        <v>15</v>
      </c>
    </row>
    <row r="125" spans="1:13" x14ac:dyDescent="0.25">
      <c r="A125" s="2">
        <v>1404</v>
      </c>
      <c r="B125" s="3" t="s">
        <v>138</v>
      </c>
      <c r="C125" s="3" t="s">
        <v>14</v>
      </c>
      <c r="D125" t="e" vm="493">
        <v>#VALUE!</v>
      </c>
      <c r="E125" s="2" cm="1" vm="494">
        <f t="array" aca="1" ref="E125" ca="1">_FV(D125,"Population")</f>
        <v>126966</v>
      </c>
      <c r="F125" s="4" cm="1">
        <f t="array" aca="1" ref="F125" ca="1">_xlfn.IFS(E125&lt;2500,E125/10,AND(E125&gt;=2500,E125&lt;25000),E125/25,AND(E125&gt;=25000,E125&lt;100000),E125/50,AND(E125&gt;=100000,E125&lt;1000000),E125/100,AND(E125&gt;=1000000,E125&lt;2000000),E125/150,AND(E125&gt;=2000000,E125&lt;3000000),E125/200,E125&gt;=3000000,E125/250)</f>
        <v>1269.6600000000001</v>
      </c>
      <c r="G125" s="2" t="str" cm="1">
        <f t="array" aca="1" ref="G125" ca="1">IFERROR(_xlfn.IFS(AND(E125&lt;80000,E125&gt;15000),"MEDIUM",E125&gt;80000,"LARGE",E125&lt;15000,"SMALL"),"SMALL")</f>
        <v>LARGE</v>
      </c>
      <c r="H125" s="2" t="str">
        <f t="shared" ca="1" si="1"/>
        <v>false</v>
      </c>
      <c r="I125" s="10" cm="1" vm="495">
        <f t="array" aca="1" ref="I125" ca="1">_FV(D125,"Latitude")</f>
        <v>34.189444444444</v>
      </c>
      <c r="J125" s="10" cm="1" vm="496">
        <f t="array" aca="1" ref="J125" ca="1">_FV(D125,"Longitude")</f>
        <v>-118.875</v>
      </c>
      <c r="K125">
        <v>3034</v>
      </c>
      <c r="L125">
        <v>1217</v>
      </c>
      <c r="M125" s="2" t="s">
        <v>15</v>
      </c>
    </row>
    <row r="126" spans="1:13" x14ac:dyDescent="0.25">
      <c r="A126" s="2">
        <v>1418</v>
      </c>
      <c r="B126" s="3" t="s">
        <v>139</v>
      </c>
      <c r="C126" s="3" t="s">
        <v>14</v>
      </c>
      <c r="D126" t="e" vm="497">
        <v>#VALUE!</v>
      </c>
      <c r="E126" s="2" cm="1" vm="498">
        <f t="array" aca="1" ref="E126" ca="1">_FV(D126,"Population")</f>
        <v>147067</v>
      </c>
      <c r="F126" s="4" cm="1">
        <f t="array" aca="1" ref="F126" ca="1">_xlfn.IFS(E126&lt;2500,E126/10,AND(E126&gt;=2500,E126&lt;25000),E126/25,AND(E126&gt;=25000,E126&lt;100000),E126/50,AND(E126&gt;=100000,E126&lt;1000000),E126/100,AND(E126&gt;=1000000,E126&lt;2000000),E126/150,AND(E126&gt;=2000000,E126&lt;3000000),E126/200,E126&gt;=3000000,E126/250)</f>
        <v>1470.67</v>
      </c>
      <c r="G126" s="2" t="str" cm="1">
        <f t="array" aca="1" ref="G126" ca="1">IFERROR(_xlfn.IFS(AND(E126&lt;80000,E126&gt;15000),"MEDIUM",E126&gt;80000,"LARGE",E126&lt;15000,"SMALL"),"SMALL")</f>
        <v>LARGE</v>
      </c>
      <c r="H126" s="2" t="str">
        <f t="shared" ca="1" si="1"/>
        <v>false</v>
      </c>
      <c r="I126" s="10" cm="1" vm="499">
        <f t="array" aca="1" ref="I126" ca="1">_FV(D126,"Latitude")</f>
        <v>33.835849199999998</v>
      </c>
      <c r="J126" s="10" cm="1" vm="500">
        <f t="array" aca="1" ref="J126" ca="1">_FV(D126,"Longitude")</f>
        <v>-118.3406288</v>
      </c>
      <c r="K126">
        <v>3106</v>
      </c>
      <c r="L126">
        <v>1327</v>
      </c>
      <c r="M126" s="2" t="s">
        <v>15</v>
      </c>
    </row>
    <row r="127" spans="1:13" x14ac:dyDescent="0.25">
      <c r="A127" s="2">
        <v>1420</v>
      </c>
      <c r="B127" s="3" t="s">
        <v>140</v>
      </c>
      <c r="C127" s="3" t="s">
        <v>14</v>
      </c>
      <c r="D127" t="e" vm="501">
        <v>#VALUE!</v>
      </c>
      <c r="E127" s="2" cm="1" vm="502">
        <f t="array" aca="1" ref="E127" ca="1">_FV(D127,"Population")</f>
        <v>93000</v>
      </c>
      <c r="F127" s="4" cm="1">
        <f t="array" aca="1" ref="F127" ca="1">_xlfn.IFS(E127&lt;2500,E127/10,AND(E127&gt;=2500,E127&lt;25000),E127/25,AND(E127&gt;=25000,E127&lt;100000),E127/50,AND(E127&gt;=100000,E127&lt;1000000),E127/100,AND(E127&gt;=1000000,E127&lt;2000000),E127/150,AND(E127&gt;=2000000,E127&lt;3000000),E127/200,E127&gt;=3000000,E127/250)</f>
        <v>1860</v>
      </c>
      <c r="G127" s="2" t="str" cm="1">
        <f t="array" aca="1" ref="G127" ca="1">IFERROR(_xlfn.IFS(AND(E127&lt;80000,E127&gt;15000),"MEDIUM",E127&gt;80000,"LARGE",E127&lt;15000,"SMALL"),"SMALL")</f>
        <v>LARGE</v>
      </c>
      <c r="H127" s="2" t="str">
        <f t="shared" ca="1" si="1"/>
        <v>false</v>
      </c>
      <c r="I127" s="10" cm="1" vm="503">
        <f t="array" aca="1" ref="I127" ca="1">_FV(D127,"Latitude")</f>
        <v>37.738055555556002</v>
      </c>
      <c r="J127" s="10" cm="1" vm="504">
        <f t="array" aca="1" ref="J127" ca="1">_FV(D127,"Longitude")</f>
        <v>-121.43388888889</v>
      </c>
      <c r="K127">
        <v>2307</v>
      </c>
      <c r="L127">
        <v>693</v>
      </c>
      <c r="M127" s="2" t="s">
        <v>15</v>
      </c>
    </row>
    <row r="128" spans="1:13" x14ac:dyDescent="0.25">
      <c r="A128" s="2">
        <v>1428</v>
      </c>
      <c r="B128" s="3" t="s">
        <v>141</v>
      </c>
      <c r="C128" s="3" t="s">
        <v>14</v>
      </c>
      <c r="D128" t="e" vm="505">
        <v>#VALUE!</v>
      </c>
      <c r="E128" s="2" cm="1" vm="506">
        <f t="array" aca="1" ref="E128" ca="1">_FV(D128,"Population")</f>
        <v>16729</v>
      </c>
      <c r="F128" s="4" cm="1">
        <f t="array" aca="1" ref="F128" ca="1">_xlfn.IFS(E128&lt;2500,E128/10,AND(E128&gt;=2500,E128&lt;25000),E128/25,AND(E128&gt;=25000,E128&lt;100000),E128/50,AND(E128&gt;=100000,E128&lt;1000000),E128/100,AND(E128&gt;=1000000,E128&lt;2000000),E128/150,AND(E128&gt;=2000000,E128&lt;3000000),E128/200,E128&gt;=3000000,E128/250)</f>
        <v>669.16</v>
      </c>
      <c r="G128" s="2" t="str" cm="1">
        <f t="array" aca="1" ref="G128" ca="1">IFERROR(_xlfn.IFS(AND(E128&lt;80000,E128&gt;15000),"MEDIUM",E128&gt;80000,"LARGE",E128&lt;15000,"SMALL"),"SMALL")</f>
        <v>MEDIUM</v>
      </c>
      <c r="H128" s="2" t="str">
        <f t="shared" ca="1" si="1"/>
        <v>false</v>
      </c>
      <c r="I128" s="10" cm="1" vm="507">
        <f t="array" aca="1" ref="I128" ca="1">_FV(D128,"Latitude")</f>
        <v>39.342222222221999</v>
      </c>
      <c r="J128" s="10" cm="1" vm="508">
        <f t="array" aca="1" ref="J128" ca="1">_FV(D128,"Longitude")</f>
        <v>-120.20361111111001</v>
      </c>
      <c r="K128">
        <v>1978</v>
      </c>
      <c r="L128">
        <v>945</v>
      </c>
      <c r="M128" s="2" t="s">
        <v>15</v>
      </c>
    </row>
    <row r="129" spans="1:13" x14ac:dyDescent="0.25">
      <c r="A129" s="2">
        <v>1429</v>
      </c>
      <c r="B129" s="3" t="s">
        <v>142</v>
      </c>
      <c r="C129" s="3" t="s">
        <v>14</v>
      </c>
      <c r="D129" t="e" vm="509">
        <v>#VALUE!</v>
      </c>
      <c r="E129" s="2" cm="1" vm="510">
        <f t="array" aca="1" ref="E129" ca="1">_FV(D129,"Population")</f>
        <v>68875</v>
      </c>
      <c r="F129" s="4" cm="1">
        <f t="array" aca="1" ref="F129" ca="1">_xlfn.IFS(E129&lt;2500,E129/10,AND(E129&gt;=2500,E129&lt;25000),E129/25,AND(E129&gt;=25000,E129&lt;100000),E129/50,AND(E129&gt;=100000,E129&lt;1000000),E129/100,AND(E129&gt;=1000000,E129&lt;2000000),E129/150,AND(E129&gt;=2000000,E129&lt;3000000),E129/200,E129&gt;=3000000,E129/250)</f>
        <v>1377.5</v>
      </c>
      <c r="G129" s="2" t="str" cm="1">
        <f t="array" aca="1" ref="G129" ca="1">IFERROR(_xlfn.IFS(AND(E129&lt;80000,E129&gt;15000),"MEDIUM",E129&gt;80000,"LARGE",E129&lt;15000,"SMALL"),"SMALL")</f>
        <v>MEDIUM</v>
      </c>
      <c r="H129" s="2" t="str">
        <f t="shared" ref="H129:H192" ca="1" si="2">IFERROR(IF(E129&gt;200000,"true","false"),"false")</f>
        <v>false</v>
      </c>
      <c r="I129" s="10" cm="1" vm="511">
        <f t="array" aca="1" ref="I129" ca="1">_FV(D129,"Latitude")</f>
        <v>36.206666666666997</v>
      </c>
      <c r="J129" s="10" cm="1" vm="512">
        <f t="array" aca="1" ref="J129" ca="1">_FV(D129,"Longitude")</f>
        <v>-119.3425</v>
      </c>
      <c r="K129">
        <v>2621</v>
      </c>
      <c r="L129">
        <v>1121</v>
      </c>
      <c r="M129" s="2" t="s">
        <v>15</v>
      </c>
    </row>
    <row r="130" spans="1:13" x14ac:dyDescent="0.25">
      <c r="A130" s="2">
        <v>1433</v>
      </c>
      <c r="B130" s="3" t="s">
        <v>143</v>
      </c>
      <c r="C130" s="3" t="s">
        <v>14</v>
      </c>
      <c r="D130" t="e" vm="513">
        <v>#VALUE!</v>
      </c>
      <c r="E130" s="2" cm="1" vm="514">
        <f t="array" aca="1" ref="E130" ca="1">_FV(D130,"Population")</f>
        <v>72740</v>
      </c>
      <c r="F130" s="4" cm="1">
        <f t="array" aca="1" ref="F130" ca="1">_xlfn.IFS(E130&lt;2500,E130/10,AND(E130&gt;=2500,E130&lt;25000),E130/25,AND(E130&gt;=25000,E130&lt;100000),E130/50,AND(E130&gt;=100000,E130&lt;1000000),E130/100,AND(E130&gt;=1000000,E130&lt;2000000),E130/150,AND(E130&gt;=2000000,E130&lt;3000000),E130/200,E130&gt;=3000000,E130/250)</f>
        <v>1454.8</v>
      </c>
      <c r="G130" s="2" t="str" cm="1">
        <f t="array" aca="1" ref="G130" ca="1">IFERROR(_xlfn.IFS(AND(E130&lt;80000,E130&gt;15000),"MEDIUM",E130&gt;80000,"LARGE",E130&lt;15000,"SMALL"),"SMALL")</f>
        <v>MEDIUM</v>
      </c>
      <c r="H130" s="2" t="str">
        <f t="shared" ca="1" si="2"/>
        <v>false</v>
      </c>
      <c r="I130" s="10" cm="1" vm="515">
        <f t="array" aca="1" ref="I130" ca="1">_FV(D130,"Latitude")</f>
        <v>37.505833333333001</v>
      </c>
      <c r="J130" s="10" cm="1" vm="516">
        <f t="array" aca="1" ref="J130" ca="1">_FV(D130,"Longitude")</f>
        <v>-120.84888888889</v>
      </c>
      <c r="K130">
        <v>2355</v>
      </c>
      <c r="L130">
        <v>813</v>
      </c>
      <c r="M130" s="2" t="s">
        <v>15</v>
      </c>
    </row>
    <row r="131" spans="1:13" x14ac:dyDescent="0.25">
      <c r="A131" s="2">
        <v>1436</v>
      </c>
      <c r="B131" s="3" t="s">
        <v>144</v>
      </c>
      <c r="C131" s="3" t="s">
        <v>14</v>
      </c>
      <c r="D131" t="e" vm="517">
        <v>#VALUE!</v>
      </c>
      <c r="E131" s="2" cm="1" vm="518">
        <f t="array" aca="1" ref="E131" ca="1">_FV(D131,"Population")</f>
        <v>787</v>
      </c>
      <c r="F131" s="4" cm="1">
        <f t="array" aca="1" ref="F131" ca="1">_xlfn.IFS(E131&lt;2500,E131/10,AND(E131&gt;=2500,E131&lt;25000),E131/25,AND(E131&gt;=25000,E131&lt;100000),E131/50,AND(E131&gt;=100000,E131&lt;1000000),E131/100,AND(E131&gt;=1000000,E131&lt;2000000),E131/150,AND(E131&gt;=2000000,E131&lt;3000000),E131/200,E131&gt;=3000000,E131/250)</f>
        <v>78.7</v>
      </c>
      <c r="G131" s="2" t="str" cm="1">
        <f t="array" aca="1" ref="G131" ca="1">IFERROR(_xlfn.IFS(AND(E131&lt;80000,E131&gt;15000),"MEDIUM",E131&gt;80000,"LARGE",E131&lt;15000,"SMALL"),"SMALL")</f>
        <v>SMALL</v>
      </c>
      <c r="H131" s="2" t="str">
        <f t="shared" ca="1" si="2"/>
        <v>false</v>
      </c>
      <c r="I131" s="10" cm="1" vm="519">
        <f t="array" aca="1" ref="I131" ca="1">_FV(D131,"Latitude")</f>
        <v>38.006944444444002</v>
      </c>
      <c r="J131" s="10" cm="1" vm="520">
        <f t="array" aca="1" ref="J131" ca="1">_FV(D131,"Longitude")</f>
        <v>-120.45111111111</v>
      </c>
      <c r="K131">
        <v>2252</v>
      </c>
      <c r="L131">
        <v>894</v>
      </c>
      <c r="M131" s="2" t="s">
        <v>15</v>
      </c>
    </row>
    <row r="132" spans="1:13" x14ac:dyDescent="0.25">
      <c r="A132" s="2">
        <v>1442</v>
      </c>
      <c r="B132" s="3" t="s">
        <v>145</v>
      </c>
      <c r="C132" s="3" t="s">
        <v>14</v>
      </c>
      <c r="D132" t="e" vm="521">
        <v>#VALUE!</v>
      </c>
      <c r="E132" s="2" cm="1" vm="522">
        <f t="array" aca="1" ref="E132" ca="1">_FV(D132,"Population")</f>
        <v>298</v>
      </c>
      <c r="F132" s="4" cm="1">
        <f t="array" aca="1" ref="F132" ca="1">_xlfn.IFS(E132&lt;2500,E132/10,AND(E132&gt;=2500,E132&lt;25000),E132/25,AND(E132&gt;=25000,E132&lt;100000),E132/50,AND(E132&gt;=100000,E132&lt;1000000),E132/100,AND(E132&gt;=1000000,E132&lt;2000000),E132/150,AND(E132&gt;=2000000,E132&lt;3000000),E132/200,E132&gt;=3000000,E132/250)</f>
        <v>29.8</v>
      </c>
      <c r="G132" s="2" t="str" cm="1">
        <f t="array" aca="1" ref="G132" ca="1">IFERROR(_xlfn.IFS(AND(E132&lt;80000,E132&gt;15000),"MEDIUM",E132&gt;80000,"LARGE",E132&lt;15000,"SMALL"),"SMALL")</f>
        <v>SMALL</v>
      </c>
      <c r="H132" s="2" t="str">
        <f t="shared" ca="1" si="2"/>
        <v>false</v>
      </c>
      <c r="I132" s="10" cm="1" vm="523">
        <f t="array" aca="1" ref="I132" ca="1">_FV(D132,"Latitude")</f>
        <v>33.44</v>
      </c>
      <c r="J132" s="10" cm="1" vm="524">
        <f t="array" aca="1" ref="J132" ca="1">_FV(D132,"Longitude")</f>
        <v>-118.49833055556</v>
      </c>
      <c r="K132">
        <v>3187</v>
      </c>
      <c r="L132">
        <v>1294</v>
      </c>
      <c r="M132" s="2" t="s">
        <v>15</v>
      </c>
    </row>
    <row r="133" spans="1:13" x14ac:dyDescent="0.25">
      <c r="A133" s="2">
        <v>1443</v>
      </c>
      <c r="B133" s="3" t="s">
        <v>146</v>
      </c>
      <c r="C133" s="3" t="s">
        <v>14</v>
      </c>
      <c r="D133" t="e" vm="525">
        <v>#VALUE!</v>
      </c>
      <c r="E133" s="2" cm="1" vm="526">
        <f t="array" aca="1" ref="E133" ca="1">_FV(D133,"Population")</f>
        <v>16607</v>
      </c>
      <c r="F133" s="4" cm="1">
        <f t="array" aca="1" ref="F133" ca="1">_xlfn.IFS(E133&lt;2500,E133/10,AND(E133&gt;=2500,E133&lt;25000),E133/25,AND(E133&gt;=25000,E133&lt;100000),E133/50,AND(E133&gt;=100000,E133&lt;1000000),E133/100,AND(E133&gt;=1000000,E133&lt;2000000),E133/150,AND(E133&gt;=2000000,E133&lt;3000000),E133/200,E133&gt;=3000000,E133/250)</f>
        <v>664.28</v>
      </c>
      <c r="G133" s="2" t="str" cm="1">
        <f t="array" aca="1" ref="G133" ca="1">IFERROR(_xlfn.IFS(AND(E133&lt;80000,E133&gt;15000),"MEDIUM",E133&gt;80000,"LARGE",E133&lt;15000,"SMALL"),"SMALL")</f>
        <v>MEDIUM</v>
      </c>
      <c r="H133" s="2" t="str">
        <f t="shared" ca="1" si="2"/>
        <v>false</v>
      </c>
      <c r="I133" s="10" cm="1" vm="527">
        <f t="array" aca="1" ref="I133" ca="1">_FV(D133,"Latitude")</f>
        <v>39.148888888888997</v>
      </c>
      <c r="J133" s="10" cm="1" vm="528">
        <f t="array" aca="1" ref="J133" ca="1">_FV(D133,"Longitude")</f>
        <v>-123.20861111111</v>
      </c>
      <c r="K133">
        <v>2018</v>
      </c>
      <c r="L133">
        <v>330</v>
      </c>
      <c r="M133" s="2" t="s">
        <v>15</v>
      </c>
    </row>
    <row r="134" spans="1:13" x14ac:dyDescent="0.25">
      <c r="A134" s="2">
        <v>1453</v>
      </c>
      <c r="B134" s="3" t="s">
        <v>147</v>
      </c>
      <c r="C134" s="3" t="s">
        <v>14</v>
      </c>
      <c r="D134" t="e" vm="529">
        <v>#VALUE!</v>
      </c>
      <c r="E134" s="2" cm="1" vm="530">
        <f t="array" aca="1" ref="E134" ca="1">_FV(D134,"Population")</f>
        <v>126090</v>
      </c>
      <c r="F134" s="4" cm="1">
        <f t="array" aca="1" ref="F134" ca="1">_xlfn.IFS(E134&lt;2500,E134/10,AND(E134&gt;=2500,E134&lt;25000),E134/25,AND(E134&gt;=25000,E134&lt;100000),E134/50,AND(E134&gt;=100000,E134&lt;1000000),E134/100,AND(E134&gt;=1000000,E134&lt;2000000),E134/150,AND(E134&gt;=2000000,E134&lt;3000000),E134/200,E134&gt;=3000000,E134/250)</f>
        <v>1260.9000000000001</v>
      </c>
      <c r="G134" s="2" t="str" cm="1">
        <f t="array" aca="1" ref="G134" ca="1">IFERROR(_xlfn.IFS(AND(E134&lt;80000,E134&gt;15000),"MEDIUM",E134&gt;80000,"LARGE",E134&lt;15000,"SMALL"),"SMALL")</f>
        <v>LARGE</v>
      </c>
      <c r="H134" s="2" t="str">
        <f t="shared" ca="1" si="2"/>
        <v>false</v>
      </c>
      <c r="I134" s="10" cm="1" vm="531">
        <f t="array" aca="1" ref="I134" ca="1">_FV(D134,"Latitude")</f>
        <v>38.104087999999997</v>
      </c>
      <c r="J134" s="10" cm="1" vm="532">
        <f t="array" aca="1" ref="J134" ca="1">_FV(D134,"Longitude")</f>
        <v>-122.256638</v>
      </c>
      <c r="K134">
        <v>2232</v>
      </c>
      <c r="L134">
        <v>525</v>
      </c>
      <c r="M134" s="2" t="s">
        <v>15</v>
      </c>
    </row>
    <row r="135" spans="1:13" x14ac:dyDescent="0.25">
      <c r="A135" s="2">
        <v>1459</v>
      </c>
      <c r="B135" s="3" t="s">
        <v>148</v>
      </c>
      <c r="C135" s="3" t="s">
        <v>14</v>
      </c>
      <c r="D135" t="e" vm="533">
        <v>#VALUE!</v>
      </c>
      <c r="E135" s="2" cm="1" vm="534">
        <f t="array" aca="1" ref="E135" ca="1">_FV(D135,"Population")</f>
        <v>3779</v>
      </c>
      <c r="F135" s="4" cm="1">
        <f t="array" aca="1" ref="F135" ca="1">_xlfn.IFS(E135&lt;2500,E135/10,AND(E135&gt;=2500,E135&lt;25000),E135/25,AND(E135&gt;=25000,E135&lt;100000),E135/50,AND(E135&gt;=100000,E135&lt;1000000),E135/100,AND(E135&gt;=1000000,E135&lt;2000000),E135/150,AND(E135&gt;=2000000,E135&lt;3000000),E135/200,E135&gt;=3000000,E135/250)</f>
        <v>151.16</v>
      </c>
      <c r="G135" s="2" t="str" cm="1">
        <f t="array" aca="1" ref="G135" ca="1">IFERROR(_xlfn.IFS(AND(E135&lt;80000,E135&gt;15000),"MEDIUM",E135&gt;80000,"LARGE",E135&lt;15000,"SMALL"),"SMALL")</f>
        <v>SMALL</v>
      </c>
      <c r="H135" s="2" t="str">
        <f t="shared" ca="1" si="2"/>
        <v>false</v>
      </c>
      <c r="I135" s="10" cm="1" vm="535">
        <f t="array" aca="1" ref="I135" ca="1">_FV(D135,"Latitude")</f>
        <v>38.191666666666997</v>
      </c>
      <c r="J135" s="10" cm="1" vm="536">
        <f t="array" aca="1" ref="J135" ca="1">_FV(D135,"Longitude")</f>
        <v>-120.82916666667001</v>
      </c>
      <c r="K135">
        <v>2214</v>
      </c>
      <c r="L135">
        <v>817</v>
      </c>
      <c r="M135" s="2" t="s">
        <v>15</v>
      </c>
    </row>
    <row r="136" spans="1:13" x14ac:dyDescent="0.25">
      <c r="A136" s="2">
        <v>1462</v>
      </c>
      <c r="B136" t="s">
        <v>149</v>
      </c>
      <c r="C136" t="s">
        <v>14</v>
      </c>
      <c r="D136" t="e" vm="537">
        <v>#VALUE!</v>
      </c>
      <c r="E136" s="2" cm="1" vm="538">
        <f t="array" aca="1" ref="E136" ca="1">_FV(D136,"Population")</f>
        <v>110763</v>
      </c>
      <c r="F136" s="4" cm="1">
        <f t="array" aca="1" ref="F136" ca="1">_xlfn.IFS(E136&lt;2500,E136/10,AND(E136&gt;=2500,E136&lt;25000),E136/25,AND(E136&gt;=25000,E136&lt;100000),E136/50,AND(E136&gt;=100000,E136&lt;1000000),E136/100,AND(E136&gt;=1000000,E136&lt;2000000),E136/150,AND(E136&gt;=2000000,E136&lt;3000000),E136/200,E136&gt;=3000000,E136/250)</f>
        <v>1107.6300000000001</v>
      </c>
      <c r="G136" s="2" t="str" cm="1">
        <f t="array" aca="1" ref="G136" ca="1">IFERROR(_xlfn.IFS(AND(E136&lt;80000,E136&gt;15000),"MEDIUM",E136&gt;80000,"LARGE",E136&lt;15000,"SMALL"),"SMALL")</f>
        <v>LARGE</v>
      </c>
      <c r="H136" s="2" t="str">
        <f t="shared" ca="1" si="2"/>
        <v>false</v>
      </c>
      <c r="I136" s="10" cm="1" vm="539">
        <f t="array" aca="1" ref="I136" ca="1">_FV(D136,"Latitude")</f>
        <v>34.267780000000002</v>
      </c>
      <c r="J136" s="10" cm="1" vm="540">
        <f t="array" aca="1" ref="J136" ca="1">_FV(D136,"Longitude")</f>
        <v>-119.254206</v>
      </c>
      <c r="K136">
        <v>3018</v>
      </c>
      <c r="L136">
        <v>1139</v>
      </c>
      <c r="M136" s="2" t="s">
        <v>15</v>
      </c>
    </row>
    <row r="137" spans="1:13" x14ac:dyDescent="0.25">
      <c r="A137" s="2">
        <v>1466</v>
      </c>
      <c r="B137" s="3" t="s">
        <v>150</v>
      </c>
      <c r="C137" s="3" t="s">
        <v>14</v>
      </c>
      <c r="D137" t="e" vm="541">
        <v>#VALUE!</v>
      </c>
      <c r="E137" s="2" cm="1" vm="542">
        <f t="array" aca="1" ref="E137" ca="1">_FV(D137,"Population")</f>
        <v>134810</v>
      </c>
      <c r="F137" s="4" cm="1">
        <f t="array" aca="1" ref="F137" ca="1">_xlfn.IFS(E137&lt;2500,E137/10,AND(E137&gt;=2500,E137&lt;25000),E137/25,AND(E137&gt;=25000,E137&lt;100000),E137/50,AND(E137&gt;=100000,E137&lt;1000000),E137/100,AND(E137&gt;=1000000,E137&lt;2000000),E137/150,AND(E137&gt;=2000000,E137&lt;3000000),E137/200,E137&gt;=3000000,E137/250)</f>
        <v>1348.1</v>
      </c>
      <c r="G137" s="2" t="str" cm="1">
        <f t="array" aca="1" ref="G137" ca="1">IFERROR(_xlfn.IFS(AND(E137&lt;80000,E137&gt;15000),"MEDIUM",E137&gt;80000,"LARGE",E137&lt;15000,"SMALL"),"SMALL")</f>
        <v>LARGE</v>
      </c>
      <c r="H137" s="2" t="str">
        <f t="shared" ca="1" si="2"/>
        <v>false</v>
      </c>
      <c r="I137" s="10" cm="1" vm="543">
        <f t="array" aca="1" ref="I137" ca="1">_FV(D137,"Latitude")</f>
        <v>34.536111111110998</v>
      </c>
      <c r="J137" s="10" cm="1" vm="544">
        <f t="array" aca="1" ref="J137" ca="1">_FV(D137,"Longitude")</f>
        <v>-117.28833333333</v>
      </c>
      <c r="K137">
        <v>2963</v>
      </c>
      <c r="L137">
        <v>1542</v>
      </c>
      <c r="M137" s="2" t="s">
        <v>15</v>
      </c>
    </row>
    <row r="138" spans="1:13" x14ac:dyDescent="0.25">
      <c r="A138" s="2">
        <v>1471</v>
      </c>
      <c r="B138" s="3" t="s">
        <v>151</v>
      </c>
      <c r="C138" s="3" t="s">
        <v>14</v>
      </c>
      <c r="D138" t="e" vm="545">
        <v>#VALUE!</v>
      </c>
      <c r="E138" s="2" cm="1" vm="546">
        <f t="array" aca="1" ref="E138" ca="1">_FV(D138,"Population")</f>
        <v>141384</v>
      </c>
      <c r="F138" s="4" cm="1">
        <f t="array" aca="1" ref="F138" ca="1">_xlfn.IFS(E138&lt;2500,E138/10,AND(E138&gt;=2500,E138&lt;25000),E138/25,AND(E138&gt;=25000,E138&lt;100000),E138/50,AND(E138&gt;=100000,E138&lt;1000000),E138/100,AND(E138&gt;=1000000,E138&lt;2000000),E138/150,AND(E138&gt;=2000000,E138&lt;3000000),E138/200,E138&gt;=3000000,E138/250)</f>
        <v>1413.84</v>
      </c>
      <c r="G138" s="2" t="str" cm="1">
        <f t="array" aca="1" ref="G138" ca="1">IFERROR(_xlfn.IFS(AND(E138&lt;80000,E138&gt;15000),"MEDIUM",E138&gt;80000,"LARGE",E138&lt;15000,"SMALL"),"SMALL")</f>
        <v>LARGE</v>
      </c>
      <c r="H138" s="2" t="str">
        <f t="shared" ca="1" si="2"/>
        <v>false</v>
      </c>
      <c r="I138" s="10" cm="1" vm="547">
        <f t="array" aca="1" ref="I138" ca="1">_FV(D138,"Latitude")</f>
        <v>36.330277777777802</v>
      </c>
      <c r="J138" s="10" cm="1" vm="548">
        <f t="array" aca="1" ref="J138" ca="1">_FV(D138,"Longitude")</f>
        <v>-119.2925</v>
      </c>
      <c r="K138">
        <v>2595</v>
      </c>
      <c r="L138">
        <v>1132</v>
      </c>
      <c r="M138" s="2" t="s">
        <v>15</v>
      </c>
    </row>
    <row r="139" spans="1:13" x14ac:dyDescent="0.25">
      <c r="A139" s="2">
        <v>1480</v>
      </c>
      <c r="B139" s="3" t="s">
        <v>152</v>
      </c>
      <c r="C139" s="3" t="s">
        <v>14</v>
      </c>
      <c r="D139" t="e" vm="549">
        <v>#VALUE!</v>
      </c>
      <c r="E139" s="2" cm="1" vm="550">
        <f t="array" aca="1" ref="E139" ca="1">_FV(D139,"Population")</f>
        <v>70127</v>
      </c>
      <c r="F139" s="4" cm="1">
        <f t="array" aca="1" ref="F139" ca="1">_xlfn.IFS(E139&lt;2500,E139/10,AND(E139&gt;=2500,E139&lt;25000),E139/25,AND(E139&gt;=25000,E139&lt;100000),E139/50,AND(E139&gt;=100000,E139&lt;1000000),E139/100,AND(E139&gt;=1000000,E139&lt;2000000),E139/150,AND(E139&gt;=2000000,E139&lt;3000000),E139/200,E139&gt;=3000000,E139/250)</f>
        <v>1402.54</v>
      </c>
      <c r="G139" s="2" t="str" cm="1">
        <f t="array" aca="1" ref="G139" ca="1">IFERROR(_xlfn.IFS(AND(E139&lt;80000,E139&gt;15000),"MEDIUM",E139&gt;80000,"LARGE",E139&lt;15000,"SMALL"),"SMALL")</f>
        <v>MEDIUM</v>
      </c>
      <c r="H139" s="2" t="str">
        <f t="shared" ca="1" si="2"/>
        <v>false</v>
      </c>
      <c r="I139" s="10" cm="1" vm="551">
        <f t="array" aca="1" ref="I139" ca="1">_FV(D139,"Latitude")</f>
        <v>37.906313099999998</v>
      </c>
      <c r="J139" s="10" cm="1" vm="552">
        <f t="array" aca="1" ref="J139" ca="1">_FV(D139,"Longitude")</f>
        <v>-122.06496300000001</v>
      </c>
      <c r="K139">
        <v>2273</v>
      </c>
      <c r="L139">
        <v>564</v>
      </c>
      <c r="M139" s="2" t="s">
        <v>15</v>
      </c>
    </row>
    <row r="140" spans="1:13" x14ac:dyDescent="0.25">
      <c r="A140" s="2">
        <v>1494</v>
      </c>
      <c r="B140" t="s">
        <v>153</v>
      </c>
      <c r="C140" t="s">
        <v>14</v>
      </c>
      <c r="D140" t="e" vm="553">
        <v>#VALUE!</v>
      </c>
      <c r="E140" s="2" cm="1" vm="554">
        <f t="array" aca="1" ref="E140" ca="1">_FV(D140,"Population")</f>
        <v>2862</v>
      </c>
      <c r="F140" s="4" cm="1">
        <f t="array" aca="1" ref="F140" ca="1">_xlfn.IFS(E140&lt;2500,E140/10,AND(E140&gt;=2500,E140&lt;25000),E140/25,AND(E140&gt;=25000,E140&lt;100000),E140/50,AND(E140&gt;=100000,E140&lt;1000000),E140/100,AND(E140&gt;=1000000,E140&lt;2000000),E140/150,AND(E140&gt;=2000000,E140&lt;3000000),E140/200,E140&gt;=3000000,E140/250)</f>
        <v>114.48</v>
      </c>
      <c r="G140" s="2" t="str" cm="1">
        <f t="array" aca="1" ref="G140" ca="1">IFERROR(_xlfn.IFS(AND(E140&lt;80000,E140&gt;15000),"MEDIUM",E140&gt;80000,"LARGE",E140&lt;15000,"SMALL"),"SMALL")</f>
        <v>SMALL</v>
      </c>
      <c r="H140" s="2" t="str">
        <f t="shared" ca="1" si="2"/>
        <v>false</v>
      </c>
      <c r="I140" s="10" cm="1" vm="555">
        <f t="array" aca="1" ref="I140" ca="1">_FV(D140,"Latitude")</f>
        <v>41.424166666666999</v>
      </c>
      <c r="J140" s="10" cm="1" vm="556">
        <f t="array" aca="1" ref="J140" ca="1">_FV(D140,"Longitude")</f>
        <v>-122.38444444444001</v>
      </c>
      <c r="K140">
        <v>1552</v>
      </c>
      <c r="L140">
        <v>498</v>
      </c>
      <c r="M140" s="2" t="s">
        <v>15</v>
      </c>
    </row>
    <row r="141" spans="1:13" x14ac:dyDescent="0.25">
      <c r="A141" s="2">
        <v>1502</v>
      </c>
      <c r="B141" s="3" t="s">
        <v>154</v>
      </c>
      <c r="C141" s="3" t="s">
        <v>14</v>
      </c>
      <c r="D141" t="e" vm="557">
        <v>#VALUE!</v>
      </c>
      <c r="E141" s="2" cm="1" vm="558">
        <f t="array" aca="1" ref="E141" ca="1">_FV(D141,"Population")</f>
        <v>109501</v>
      </c>
      <c r="F141" s="4" cm="1">
        <f t="array" aca="1" ref="F141" ca="1">_xlfn.IFS(E141&lt;2500,E141/10,AND(E141&gt;=2500,E141&lt;25000),E141/25,AND(E141&gt;=25000,E141&lt;100000),E141/50,AND(E141&gt;=100000,E141&lt;1000000),E141/100,AND(E141&gt;=1000000,E141&lt;2000000),E141/150,AND(E141&gt;=2000000,E141&lt;3000000),E141/200,E141&gt;=3000000,E141/250)</f>
        <v>1095.01</v>
      </c>
      <c r="G141" s="2" t="str" cm="1">
        <f t="array" aca="1" ref="G141" ca="1">IFERROR(_xlfn.IFS(AND(E141&lt;80000,E141&gt;15000),"MEDIUM",E141&gt;80000,"LARGE",E141&lt;15000,"SMALL"),"SMALL")</f>
        <v>LARGE</v>
      </c>
      <c r="H141" s="2" t="str">
        <f t="shared" ca="1" si="2"/>
        <v>false</v>
      </c>
      <c r="I141" s="10" cm="1" vm="559">
        <f t="array" aca="1" ref="I141" ca="1">_FV(D141,"Latitude")</f>
        <v>34.056666666666999</v>
      </c>
      <c r="J141" s="10" cm="1" vm="560">
        <f t="array" aca="1" ref="J141" ca="1">_FV(D141,"Longitude")</f>
        <v>-117.91861111111</v>
      </c>
      <c r="K141">
        <v>3061</v>
      </c>
      <c r="L141">
        <v>1413</v>
      </c>
      <c r="M141" s="2" t="s">
        <v>15</v>
      </c>
    </row>
    <row r="142" spans="1:13" x14ac:dyDescent="0.25">
      <c r="A142" s="2">
        <v>1529</v>
      </c>
      <c r="B142" t="s">
        <v>155</v>
      </c>
      <c r="C142" t="s">
        <v>14</v>
      </c>
      <c r="D142" t="e" vm="561">
        <v>#VALUE!</v>
      </c>
      <c r="E142" s="2" cm="1" vm="562">
        <f t="array" aca="1" ref="E142" ca="1">_FV(D142,"Population")</f>
        <v>5538</v>
      </c>
      <c r="F142" s="4" cm="1">
        <f t="array" aca="1" ref="F142" ca="1">_xlfn.IFS(E142&lt;2500,E142/10,AND(E142&gt;=2500,E142&lt;25000),E142/25,AND(E142&gt;=25000,E142&lt;100000),E142/50,AND(E142&gt;=100000,E142&lt;1000000),E142/100,AND(E142&gt;=1000000,E142&lt;2000000),E142/150,AND(E142&gt;=2000000,E142&lt;3000000),E142/200,E142&gt;=3000000,E142/250)</f>
        <v>221.52</v>
      </c>
      <c r="G142" s="2" t="str" cm="1">
        <f t="array" aca="1" ref="G142" ca="1">IFERROR(_xlfn.IFS(AND(E142&lt;80000,E142&gt;15000),"MEDIUM",E142&gt;80000,"LARGE",E142&lt;15000,"SMALL"),"SMALL")</f>
        <v>SMALL</v>
      </c>
      <c r="H142" s="2" t="str">
        <f t="shared" ca="1" si="2"/>
        <v>false</v>
      </c>
      <c r="I142" s="10" cm="1" vm="563">
        <f t="array" aca="1" ref="I142" ca="1">_FV(D142,"Latitude")</f>
        <v>39.154722222221999</v>
      </c>
      <c r="J142" s="10" cm="1" vm="564">
        <f t="array" aca="1" ref="J142" ca="1">_FV(D142,"Longitude")</f>
        <v>-122.14944444443999</v>
      </c>
      <c r="K142">
        <v>2017</v>
      </c>
      <c r="L142">
        <v>547</v>
      </c>
      <c r="M142" s="2" t="s">
        <v>15</v>
      </c>
    </row>
    <row r="143" spans="1:13" x14ac:dyDescent="0.25">
      <c r="A143" s="2">
        <v>1530</v>
      </c>
      <c r="B143" s="3" t="s">
        <v>156</v>
      </c>
      <c r="C143" s="3" t="s">
        <v>14</v>
      </c>
      <c r="D143" t="e" vm="565">
        <v>#VALUE!</v>
      </c>
      <c r="E143" s="2" cm="1" vm="566">
        <f t="array" aca="1" ref="E143" ca="1">_FV(D143,"Population")</f>
        <v>4988</v>
      </c>
      <c r="F143" s="4" cm="1">
        <f t="array" aca="1" ref="F143" ca="1">_xlfn.IFS(E143&lt;2500,E143/10,AND(E143&gt;=2500,E143&lt;25000),E143/25,AND(E143&gt;=25000,E143&lt;100000),E143/50,AND(E143&gt;=100000,E143&lt;1000000),E143/100,AND(E143&gt;=1000000,E143&lt;2000000),E143/150,AND(E143&gt;=2000000,E143&lt;3000000),E143/200,E143&gt;=3000000,E143/250)</f>
        <v>199.52</v>
      </c>
      <c r="G143" s="2" t="str" cm="1">
        <f t="array" aca="1" ref="G143" ca="1">IFERROR(_xlfn.IFS(AND(E143&lt;80000,E143&gt;15000),"MEDIUM",E143&gt;80000,"LARGE",E143&lt;15000,"SMALL"),"SMALL")</f>
        <v>SMALL</v>
      </c>
      <c r="H143" s="2" t="str">
        <f t="shared" ca="1" si="2"/>
        <v>false</v>
      </c>
      <c r="I143" s="10" cm="1" vm="567">
        <f t="array" aca="1" ref="I143" ca="1">_FV(D143,"Latitude")</f>
        <v>39.409722222222001</v>
      </c>
      <c r="J143" s="10" cm="1" vm="568">
        <f t="array" aca="1" ref="J143" ca="1">_FV(D143,"Longitude")</f>
        <v>-123.35555555556</v>
      </c>
      <c r="K143">
        <v>1965</v>
      </c>
      <c r="L143">
        <v>299</v>
      </c>
      <c r="M143" s="2" t="s">
        <v>15</v>
      </c>
    </row>
    <row r="144" spans="1:13" x14ac:dyDescent="0.25">
      <c r="A144" s="2">
        <v>1533</v>
      </c>
      <c r="B144" t="s">
        <v>157</v>
      </c>
      <c r="C144" t="s">
        <v>14</v>
      </c>
      <c r="D144" t="e" vm="569">
        <v>#VALUE!</v>
      </c>
      <c r="E144" s="2" cm="1" vm="570">
        <f t="array" aca="1" ref="E144" ca="1">_FV(D144,"Population")</f>
        <v>6293</v>
      </c>
      <c r="F144" s="4" cm="1">
        <f t="array" aca="1" ref="F144" ca="1">_xlfn.IFS(E144&lt;2500,E144/10,AND(E144&gt;=2500,E144&lt;25000),E144/25,AND(E144&gt;=25000,E144&lt;100000),E144/50,AND(E144&gt;=100000,E144&lt;1000000),E144/100,AND(E144&gt;=1000000,E144&lt;2000000),E144/150,AND(E144&gt;=2000000,E144&lt;3000000),E144/200,E144&gt;=3000000,E144/250)</f>
        <v>251.72</v>
      </c>
      <c r="G144" s="2" t="str" cm="1">
        <f t="array" aca="1" ref="G144" ca="1">IFERROR(_xlfn.IFS(AND(E144&lt;80000,E144&gt;15000),"MEDIUM",E144&gt;80000,"LARGE",E144&lt;15000,"SMALL"),"SMALL")</f>
        <v>SMALL</v>
      </c>
      <c r="H144" s="2" t="str">
        <f t="shared" ca="1" si="2"/>
        <v>false</v>
      </c>
      <c r="I144" s="10" cm="1" vm="571">
        <f t="array" aca="1" ref="I144" ca="1">_FV(D144,"Latitude")</f>
        <v>39.524444444444001</v>
      </c>
      <c r="J144" s="10" cm="1" vm="572">
        <f t="array" aca="1" ref="J144" ca="1">_FV(D144,"Longitude")</f>
        <v>-122.19361111111</v>
      </c>
      <c r="K144">
        <v>1941</v>
      </c>
      <c r="L144">
        <v>537</v>
      </c>
      <c r="M144" s="2" t="s">
        <v>15</v>
      </c>
    </row>
    <row r="145" spans="1:13" x14ac:dyDescent="0.25">
      <c r="A145" s="2">
        <v>1548</v>
      </c>
      <c r="B145" s="3" t="s">
        <v>158</v>
      </c>
      <c r="C145" s="3" t="s">
        <v>14</v>
      </c>
      <c r="D145" t="e" vm="573">
        <v>#VALUE!</v>
      </c>
      <c r="E145" s="2" cm="1" vm="574">
        <f t="array" aca="1" ref="E145" ca="1">_FV(D145,"Population")</f>
        <v>61032</v>
      </c>
      <c r="F145" s="4" cm="1">
        <f t="array" aca="1" ref="F145" ca="1">_xlfn.IFS(E145&lt;2500,E145/10,AND(E145&gt;=2500,E145&lt;25000),E145/25,AND(E145&gt;=25000,E145&lt;100000),E145/50,AND(E145&gt;=100000,E145&lt;1000000),E145/100,AND(E145&gt;=1000000,E145&lt;2000000),E145/150,AND(E145&gt;=2000000,E145&lt;3000000),E145/200,E145&gt;=3000000,E145/250)</f>
        <v>1220.6400000000001</v>
      </c>
      <c r="G145" s="2" t="str" cm="1">
        <f t="array" aca="1" ref="G145" ca="1">IFERROR(_xlfn.IFS(AND(E145&lt;80000,E145&gt;15000),"MEDIUM",E145&gt;80000,"LARGE",E145&lt;15000,"SMALL"),"SMALL")</f>
        <v>MEDIUM</v>
      </c>
      <c r="H145" s="2" t="str">
        <f t="shared" ca="1" si="2"/>
        <v>false</v>
      </c>
      <c r="I145" s="10" cm="1" vm="575">
        <f t="array" aca="1" ref="I145" ca="1">_FV(D145,"Latitude")</f>
        <v>38.678611111111003</v>
      </c>
      <c r="J145" s="10" cm="1" vm="576">
        <f t="array" aca="1" ref="J145" ca="1">_FV(D145,"Longitude")</f>
        <v>-121.77333333333</v>
      </c>
      <c r="K145">
        <v>2114</v>
      </c>
      <c r="L145">
        <v>624</v>
      </c>
      <c r="M145" s="2" t="s">
        <v>15</v>
      </c>
    </row>
    <row r="146" spans="1:13" x14ac:dyDescent="0.25">
      <c r="A146" s="2">
        <v>1562</v>
      </c>
      <c r="B146" s="3" t="s">
        <v>159</v>
      </c>
      <c r="C146" s="3" t="s">
        <v>14</v>
      </c>
      <c r="D146" t="e" vm="577">
        <v>#VALUE!</v>
      </c>
      <c r="E146" s="2" cm="1" vm="578">
        <f t="array" aca="1" ref="E146" ca="1">_FV(D146,"Population")</f>
        <v>7807</v>
      </c>
      <c r="F146" s="4" cm="1">
        <f t="array" aca="1" ref="F146" ca="1">_xlfn.IFS(E146&lt;2500,E146/10,AND(E146&gt;=2500,E146&lt;25000),E146/25,AND(E146&gt;=25000,E146&lt;100000),E146/50,AND(E146&gt;=100000,E146&lt;1000000),E146/100,AND(E146&gt;=1000000,E146&lt;2000000),E146/150,AND(E146&gt;=2000000,E146&lt;3000000),E146/200,E146&gt;=3000000,E146/250)</f>
        <v>312.27999999999997</v>
      </c>
      <c r="G146" s="2" t="str" cm="1">
        <f t="array" aca="1" ref="G146" ca="1">IFERROR(_xlfn.IFS(AND(E146&lt;80000,E146&gt;15000),"MEDIUM",E146&gt;80000,"LARGE",E146&lt;15000,"SMALL"),"SMALL")</f>
        <v>SMALL</v>
      </c>
      <c r="H146" s="2" t="str">
        <f t="shared" ca="1" si="2"/>
        <v>false</v>
      </c>
      <c r="I146" s="10" cm="1" vm="579">
        <f t="array" aca="1" ref="I146" ca="1">_FV(D146,"Latitude")</f>
        <v>41.726666666667001</v>
      </c>
      <c r="J146" s="10" cm="1" vm="580">
        <f t="array" aca="1" ref="J146" ca="1">_FV(D146,"Longitude")</f>
        <v>-122.6375</v>
      </c>
      <c r="K146">
        <v>1490</v>
      </c>
      <c r="L146">
        <v>447</v>
      </c>
      <c r="M146" s="2" t="s">
        <v>15</v>
      </c>
    </row>
    <row r="147" spans="1:13" x14ac:dyDescent="0.25">
      <c r="A147" s="2">
        <v>1563</v>
      </c>
      <c r="B147" s="3" t="s">
        <v>160</v>
      </c>
      <c r="C147" s="3" t="s">
        <v>14</v>
      </c>
      <c r="D147" t="e" vm="581">
        <v>#VALUE!</v>
      </c>
      <c r="E147" s="2" cm="1" vm="582">
        <f t="array" aca="1" ref="E147" ca="1">_FV(D147,"Population")</f>
        <v>70117</v>
      </c>
      <c r="F147" s="4" cm="1">
        <f t="array" aca="1" ref="F147" ca="1">_xlfn.IFS(E147&lt;2500,E147/10,AND(E147&gt;=2500,E147&lt;25000),E147/25,AND(E147&gt;=25000,E147&lt;100000),E147/50,AND(E147&gt;=100000,E147&lt;1000000),E147/100,AND(E147&gt;=1000000,E147&lt;2000000),E147/150,AND(E147&gt;=2000000,E147&lt;3000000),E147/200,E147&gt;=3000000,E147/250)</f>
        <v>1402.34</v>
      </c>
      <c r="G147" s="2" t="str" cm="1">
        <f t="array" aca="1" ref="G147" ca="1">IFERROR(_xlfn.IFS(AND(E147&lt;80000,E147&gt;15000),"MEDIUM",E147&gt;80000,"LARGE",E147&lt;15000,"SMALL"),"SMALL")</f>
        <v>MEDIUM</v>
      </c>
      <c r="H147" s="2" t="str">
        <f t="shared" ca="1" si="2"/>
        <v>false</v>
      </c>
      <c r="I147" s="10" cm="1" vm="583">
        <f t="array" aca="1" ref="I147" ca="1">_FV(D147,"Latitude")</f>
        <v>39.134722222222003</v>
      </c>
      <c r="J147" s="10" cm="1" vm="584">
        <f t="array" aca="1" ref="J147" ca="1">_FV(D147,"Longitude")</f>
        <v>-121.62611111111001</v>
      </c>
      <c r="K147">
        <v>2021</v>
      </c>
      <c r="L147">
        <v>654</v>
      </c>
      <c r="M147" s="2" t="s">
        <v>15</v>
      </c>
    </row>
    <row r="148" spans="1:13" x14ac:dyDescent="0.25">
      <c r="A148" s="2">
        <v>1564</v>
      </c>
      <c r="B148" s="3" t="s">
        <v>161</v>
      </c>
      <c r="C148" s="3" t="s">
        <v>14</v>
      </c>
      <c r="D148" t="e" vm="585">
        <v>#VALUE!</v>
      </c>
      <c r="E148" s="2" cm="1" vm="586">
        <f t="array" aca="1" ref="E148" ca="1">_FV(D148,"Population")</f>
        <v>54542</v>
      </c>
      <c r="F148" s="4" cm="1">
        <f t="array" aca="1" ref="F148" ca="1">_xlfn.IFS(E148&lt;2500,E148/10,AND(E148&gt;=2500,E148&lt;25000),E148/25,AND(E148&gt;=25000,E148&lt;100000),E148/50,AND(E148&gt;=100000,E148&lt;1000000),E148/100,AND(E148&gt;=1000000,E148&lt;2000000),E148/150,AND(E148&gt;=2000000,E148&lt;3000000),E148/200,E148&gt;=3000000,E148/250)</f>
        <v>1090.8399999999999</v>
      </c>
      <c r="G148" s="2" t="str" cm="1">
        <f t="array" aca="1" ref="G148" ca="1">IFERROR(_xlfn.IFS(AND(E148&lt;80000,E148&gt;15000),"MEDIUM",E148&gt;80000,"LARGE",E148&lt;15000,"SMALL"),"SMALL")</f>
        <v>MEDIUM</v>
      </c>
      <c r="H148" s="2" t="str">
        <f t="shared" ca="1" si="2"/>
        <v>false</v>
      </c>
      <c r="I148" s="10" cm="1" vm="587">
        <f t="array" aca="1" ref="I148" ca="1">_FV(D148,"Latitude")</f>
        <v>34.030277777777997</v>
      </c>
      <c r="J148" s="10" cm="1" vm="588">
        <f t="array" aca="1" ref="J148" ca="1">_FV(D148,"Longitude")</f>
        <v>-117.04861111111001</v>
      </c>
      <c r="K148">
        <v>3066</v>
      </c>
      <c r="L148">
        <v>1591</v>
      </c>
      <c r="M148" s="2" t="s">
        <v>15</v>
      </c>
    </row>
    <row r="149" spans="1:13" x14ac:dyDescent="0.25">
      <c r="A149" s="2">
        <v>1570</v>
      </c>
      <c r="B149" t="s">
        <v>162</v>
      </c>
      <c r="C149" t="s">
        <v>163</v>
      </c>
      <c r="D149" t="e" vm="589">
        <v>#VALUE!</v>
      </c>
      <c r="E149" s="2" cm="1" vm="590">
        <f t="array" aca="1" ref="E149" ca="1">_FV(D149,"Population")</f>
        <v>56472</v>
      </c>
      <c r="F149" s="4" cm="1">
        <f t="array" aca="1" ref="F149" ca="1">_xlfn.IFS(E149&lt;2500,E149/10,AND(E149&gt;=2500,E149&lt;25000),E149/25,AND(E149&gt;=25000,E149&lt;100000),E149/50,AND(E149&gt;=100000,E149&lt;1000000),E149/100,AND(E149&gt;=1000000,E149&lt;2000000),E149/150,AND(E149&gt;=2000000,E149&lt;3000000),E149/200,E149&gt;=3000000,E149/250)</f>
        <v>1129.44</v>
      </c>
      <c r="G149" s="2" t="str" cm="1">
        <f t="array" aca="1" ref="G149" ca="1">IFERROR(_xlfn.IFS(AND(E149&lt;80000,E149&gt;15000),"MEDIUM",E149&gt;80000,"LARGE",E149&lt;15000,"SMALL"),"SMALL")</f>
        <v>MEDIUM</v>
      </c>
      <c r="H149" s="2" t="str">
        <f t="shared" ca="1" si="2"/>
        <v>false</v>
      </c>
      <c r="I149" s="10" cm="1" vm="591">
        <f t="array" aca="1" ref="I149" ca="1">_FV(D149,"Latitude")</f>
        <v>44.630277777777998</v>
      </c>
      <c r="J149" s="10" cm="1" vm="592">
        <f t="array" aca="1" ref="J149" ca="1">_FV(D149,"Longitude")</f>
        <v>-123.09611111111001</v>
      </c>
      <c r="K149">
        <v>895</v>
      </c>
      <c r="L149">
        <v>353</v>
      </c>
      <c r="M149" s="2" t="s">
        <v>15</v>
      </c>
    </row>
    <row r="150" spans="1:13" x14ac:dyDescent="0.25">
      <c r="A150" s="2">
        <v>1578</v>
      </c>
      <c r="B150" t="s">
        <v>164</v>
      </c>
      <c r="C150" t="s">
        <v>163</v>
      </c>
      <c r="D150" t="e" vm="593">
        <v>#VALUE!</v>
      </c>
      <c r="E150" s="2" cm="1" vm="594">
        <f t="array" aca="1" ref="E150" ca="1">_FV(D150,"Population")</f>
        <v>21360</v>
      </c>
      <c r="F150" s="4" cm="1">
        <f t="array" aca="1" ref="F150" ca="1">_xlfn.IFS(E150&lt;2500,E150/10,AND(E150&gt;=2500,E150&lt;25000),E150/25,AND(E150&gt;=25000,E150&lt;100000),E150/50,AND(E150&gt;=100000,E150&lt;1000000),E150/100,AND(E150&gt;=1000000,E150&lt;2000000),E150/150,AND(E150&gt;=2000000,E150&lt;3000000),E150/200,E150&gt;=3000000,E150/250)</f>
        <v>854.4</v>
      </c>
      <c r="G150" s="2" t="str" cm="1">
        <f t="array" aca="1" ref="G150" ca="1">IFERROR(_xlfn.IFS(AND(E150&lt;80000,E150&gt;15000),"MEDIUM",E150&gt;80000,"LARGE",E150&lt;15000,"SMALL"),"SMALL")</f>
        <v>MEDIUM</v>
      </c>
      <c r="H150" s="2" t="str">
        <f t="shared" ca="1" si="2"/>
        <v>false</v>
      </c>
      <c r="I150" s="10" cm="1" vm="595">
        <f t="array" aca="1" ref="I150" ca="1">_FV(D150,"Latitude")</f>
        <v>42.191388888889001</v>
      </c>
      <c r="J150" s="10" cm="1" vm="596">
        <f t="array" aca="1" ref="J150" ca="1">_FV(D150,"Longitude")</f>
        <v>-122.70083333333</v>
      </c>
      <c r="K150">
        <v>1395</v>
      </c>
      <c r="L150">
        <v>434</v>
      </c>
      <c r="M150" s="2" t="s">
        <v>15</v>
      </c>
    </row>
    <row r="151" spans="1:13" x14ac:dyDescent="0.25">
      <c r="A151" s="2">
        <v>1579</v>
      </c>
      <c r="B151" t="s">
        <v>165</v>
      </c>
      <c r="C151" t="s">
        <v>163</v>
      </c>
      <c r="D151" t="e" vm="597">
        <v>#VALUE!</v>
      </c>
      <c r="E151" s="2" cm="1" vm="598">
        <f t="array" aca="1" ref="E151" ca="1">_FV(D151,"Population")</f>
        <v>10181</v>
      </c>
      <c r="F151" s="4" cm="1">
        <f t="array" aca="1" ref="F151" ca="1">_xlfn.IFS(E151&lt;2500,E151/10,AND(E151&gt;=2500,E151&lt;25000),E151/25,AND(E151&gt;=25000,E151&lt;100000),E151/50,AND(E151&gt;=100000,E151&lt;1000000),E151/100,AND(E151&gt;=1000000,E151&lt;2000000),E151/150,AND(E151&gt;=2000000,E151&lt;3000000),E151/200,E151&gt;=3000000,E151/250)</f>
        <v>407.24</v>
      </c>
      <c r="G151" s="2" t="str" cm="1">
        <f t="array" aca="1" ref="G151" ca="1">IFERROR(_xlfn.IFS(AND(E151&lt;80000,E151&gt;15000),"MEDIUM",E151&gt;80000,"LARGE",E151&lt;15000,"SMALL"),"SMALL")</f>
        <v>SMALL</v>
      </c>
      <c r="H151" s="2" t="str">
        <f t="shared" ca="1" si="2"/>
        <v>false</v>
      </c>
      <c r="I151" s="10" cm="1" vm="599">
        <f t="array" aca="1" ref="I151" ca="1">_FV(D151,"Latitude")</f>
        <v>46.183333333333003</v>
      </c>
      <c r="J151" s="10" cm="1" vm="600">
        <f t="array" aca="1" ref="J151" ca="1">_FV(D151,"Longitude")</f>
        <v>-123.83472222221999</v>
      </c>
      <c r="K151">
        <v>577</v>
      </c>
      <c r="L151">
        <v>201</v>
      </c>
      <c r="M151" s="2" t="s">
        <v>15</v>
      </c>
    </row>
    <row r="152" spans="1:13" x14ac:dyDescent="0.25">
      <c r="A152" s="2">
        <v>1583</v>
      </c>
      <c r="B152" t="s">
        <v>166</v>
      </c>
      <c r="C152" t="s">
        <v>163</v>
      </c>
      <c r="D152" t="e" vm="601">
        <v>#VALUE!</v>
      </c>
      <c r="E152" s="2" cm="1" vm="602">
        <f t="array" aca="1" ref="E152" ca="1">_FV(D152,"Population")</f>
        <v>10099</v>
      </c>
      <c r="F152" s="4" cm="1">
        <f t="array" aca="1" ref="F152" ca="1">_xlfn.IFS(E152&lt;2500,E152/10,AND(E152&gt;=2500,E152&lt;25000),E152/25,AND(E152&gt;=25000,E152&lt;100000),E152/50,AND(E152&gt;=100000,E152&lt;1000000),E152/100,AND(E152&gt;=1000000,E152&lt;2000000),E152/150,AND(E152&gt;=2000000,E152&lt;3000000),E152/200,E152&gt;=3000000,E152/250)</f>
        <v>403.96</v>
      </c>
      <c r="G152" s="2" t="str" cm="1">
        <f t="array" aca="1" ref="G152" ca="1">IFERROR(_xlfn.IFS(AND(E152&lt;80000,E152&gt;15000),"MEDIUM",E152&gt;80000,"LARGE",E152&lt;15000,"SMALL"),"SMALL")</f>
        <v>SMALL</v>
      </c>
      <c r="H152" s="2" t="str">
        <f t="shared" ca="1" si="2"/>
        <v>false</v>
      </c>
      <c r="I152" s="10" cm="1" vm="603">
        <f t="array" aca="1" ref="I152" ca="1">_FV(D152,"Latitude")</f>
        <v>44.774999999999999</v>
      </c>
      <c r="J152" s="10" cm="1" vm="604">
        <f t="array" aca="1" ref="J152" ca="1">_FV(D152,"Longitude")</f>
        <v>-117.83444444444</v>
      </c>
      <c r="K152">
        <v>866</v>
      </c>
      <c r="L152">
        <v>1430</v>
      </c>
      <c r="M152" s="2" t="s">
        <v>15</v>
      </c>
    </row>
    <row r="153" spans="1:13" x14ac:dyDescent="0.25">
      <c r="A153" s="2">
        <v>1584</v>
      </c>
      <c r="B153" t="s">
        <v>167</v>
      </c>
      <c r="C153" t="s">
        <v>163</v>
      </c>
      <c r="D153" t="e" vm="605">
        <v>#VALUE!</v>
      </c>
      <c r="E153" s="2" cm="1" vm="606">
        <f t="array" aca="1" ref="E153" ca="1">_FV(D153,"Population")</f>
        <v>3321</v>
      </c>
      <c r="F153" s="4" cm="1">
        <f t="array" aca="1" ref="F153" ca="1">_xlfn.IFS(E153&lt;2500,E153/10,AND(E153&gt;=2500,E153&lt;25000),E153/25,AND(E153&gt;=25000,E153&lt;100000),E153/50,AND(E153&gt;=100000,E153&lt;1000000),E153/100,AND(E153&gt;=1000000,E153&lt;2000000),E153/150,AND(E153&gt;=2000000,E153&lt;3000000),E153/200,E153&gt;=3000000,E153/250)</f>
        <v>132.84</v>
      </c>
      <c r="G153" s="2" t="str" cm="1">
        <f t="array" aca="1" ref="G153" ca="1">IFERROR(_xlfn.IFS(AND(E153&lt;80000,E153&gt;15000),"MEDIUM",E153&gt;80000,"LARGE",E153&lt;15000,"SMALL"),"SMALL")</f>
        <v>SMALL</v>
      </c>
      <c r="H153" s="2" t="str">
        <f t="shared" ca="1" si="2"/>
        <v>false</v>
      </c>
      <c r="I153" s="10" cm="1" vm="607">
        <f t="array" aca="1" ref="I153" ca="1">_FV(D153,"Latitude")</f>
        <v>43.118888888889003</v>
      </c>
      <c r="J153" s="10" cm="1" vm="608">
        <f t="array" aca="1" ref="J153" ca="1">_FV(D153,"Longitude")</f>
        <v>-124.41194444444</v>
      </c>
      <c r="K153">
        <v>1205</v>
      </c>
      <c r="L153">
        <v>83</v>
      </c>
      <c r="M153" s="2" t="s">
        <v>15</v>
      </c>
    </row>
    <row r="154" spans="1:13" x14ac:dyDescent="0.25">
      <c r="A154" s="2">
        <v>1593</v>
      </c>
      <c r="B154" t="s">
        <v>168</v>
      </c>
      <c r="C154" t="s">
        <v>163</v>
      </c>
      <c r="D154" t="e" vm="609">
        <v>#VALUE!</v>
      </c>
      <c r="E154" s="2" cm="1" vm="610">
        <f t="array" aca="1" ref="E154" ca="1">_FV(D154,"Population")</f>
        <v>97494</v>
      </c>
      <c r="F154" s="4" cm="1">
        <f t="array" aca="1" ref="F154" ca="1">_xlfn.IFS(E154&lt;2500,E154/10,AND(E154&gt;=2500,E154&lt;25000),E154/25,AND(E154&gt;=25000,E154&lt;100000),E154/50,AND(E154&gt;=100000,E154&lt;1000000),E154/100,AND(E154&gt;=1000000,E154&lt;2000000),E154/150,AND(E154&gt;=2000000,E154&lt;3000000),E154/200,E154&gt;=3000000,E154/250)</f>
        <v>1949.88</v>
      </c>
      <c r="G154" s="2" t="str" cm="1">
        <f t="array" aca="1" ref="G154" ca="1">IFERROR(_xlfn.IFS(AND(E154&lt;80000,E154&gt;15000),"MEDIUM",E154&gt;80000,"LARGE",E154&lt;15000,"SMALL"),"SMALL")</f>
        <v>LARGE</v>
      </c>
      <c r="H154" s="2" t="str">
        <f t="shared" ca="1" si="2"/>
        <v>false</v>
      </c>
      <c r="I154" s="10" cm="1" vm="611">
        <f t="array" aca="1" ref="I154" ca="1">_FV(D154,"Latitude")</f>
        <v>45.486944444443999</v>
      </c>
      <c r="J154" s="10" cm="1" vm="612">
        <f t="array" aca="1" ref="J154" ca="1">_FV(D154,"Longitude")</f>
        <v>-122.80361111111</v>
      </c>
      <c r="K154">
        <v>720</v>
      </c>
      <c r="L154">
        <v>413</v>
      </c>
      <c r="M154" s="2" t="s">
        <v>15</v>
      </c>
    </row>
    <row r="155" spans="1:13" x14ac:dyDescent="0.25">
      <c r="A155" s="2">
        <v>1595</v>
      </c>
      <c r="B155" t="s">
        <v>169</v>
      </c>
      <c r="C155" t="s">
        <v>163</v>
      </c>
      <c r="D155" t="e" vm="613">
        <v>#VALUE!</v>
      </c>
      <c r="E155" s="2" cm="1" vm="614">
        <f t="array" aca="1" ref="E155" ca="1">_FV(D155,"Population")</f>
        <v>99178</v>
      </c>
      <c r="F155" s="4" cm="1">
        <f t="array" aca="1" ref="F155" ca="1">_xlfn.IFS(E155&lt;2500,E155/10,AND(E155&gt;=2500,E155&lt;25000),E155/25,AND(E155&gt;=25000,E155&lt;100000),E155/50,AND(E155&gt;=100000,E155&lt;1000000),E155/100,AND(E155&gt;=1000000,E155&lt;2000000),E155/150,AND(E155&gt;=2000000,E155&lt;3000000),E155/200,E155&gt;=3000000,E155/250)</f>
        <v>1983.56</v>
      </c>
      <c r="G155" s="2" t="str" cm="1">
        <f t="array" aca="1" ref="G155" ca="1">IFERROR(_xlfn.IFS(AND(E155&lt;80000,E155&gt;15000),"MEDIUM",E155&gt;80000,"LARGE",E155&lt;15000,"SMALL"),"SMALL")</f>
        <v>LARGE</v>
      </c>
      <c r="H155" s="2" t="str">
        <f t="shared" ca="1" si="2"/>
        <v>false</v>
      </c>
      <c r="I155" s="10" cm="1" vm="615">
        <f t="array" aca="1" ref="I155" ca="1">_FV(D155,"Latitude")</f>
        <v>44.056388888889003</v>
      </c>
      <c r="J155" s="10" cm="1" vm="616">
        <f t="array" aca="1" ref="J155" ca="1">_FV(D155,"Longitude")</f>
        <v>-121.30805555556</v>
      </c>
      <c r="K155">
        <v>1013</v>
      </c>
      <c r="L155">
        <v>719</v>
      </c>
      <c r="M155" s="2" t="s">
        <v>15</v>
      </c>
    </row>
    <row r="156" spans="1:13" x14ac:dyDescent="0.25">
      <c r="A156" s="2">
        <v>1603</v>
      </c>
      <c r="B156" t="s">
        <v>170</v>
      </c>
      <c r="C156" t="s">
        <v>163</v>
      </c>
      <c r="D156" t="e" vm="617">
        <v>#VALUE!</v>
      </c>
      <c r="E156" s="2" cm="1" vm="618">
        <f t="array" aca="1" ref="E156" ca="1">_FV(D156,"Population")</f>
        <v>6744</v>
      </c>
      <c r="F156" s="4" cm="1">
        <f t="array" aca="1" ref="F156" ca="1">_xlfn.IFS(E156&lt;2500,E156/10,AND(E156&gt;=2500,E156&lt;25000),E156/25,AND(E156&gt;=25000,E156&lt;100000),E156/50,AND(E156&gt;=100000,E156&lt;1000000),E156/100,AND(E156&gt;=1000000,E156&lt;2000000),E156/150,AND(E156&gt;=2000000,E156&lt;3000000),E156/200,E156&gt;=3000000,E156/250)</f>
        <v>269.76</v>
      </c>
      <c r="G156" s="2" t="str" cm="1">
        <f t="array" aca="1" ref="G156" ca="1">IFERROR(_xlfn.IFS(AND(E156&lt;80000,E156&gt;15000),"MEDIUM",E156&gt;80000,"LARGE",E156&lt;15000,"SMALL"),"SMALL")</f>
        <v>SMALL</v>
      </c>
      <c r="H156" s="2" t="str">
        <f t="shared" ca="1" si="2"/>
        <v>false</v>
      </c>
      <c r="I156" s="10" cm="1" vm="619">
        <f t="array" aca="1" ref="I156" ca="1">_FV(D156,"Latitude")</f>
        <v>42.057499999999997</v>
      </c>
      <c r="J156" s="10" cm="1" vm="620">
        <f t="array" aca="1" ref="J156" ca="1">_FV(D156,"Longitude")</f>
        <v>-124.28638888889</v>
      </c>
      <c r="K156">
        <v>1422</v>
      </c>
      <c r="L156">
        <v>109</v>
      </c>
      <c r="M156" s="2" t="s">
        <v>15</v>
      </c>
    </row>
    <row r="157" spans="1:13" x14ac:dyDescent="0.25">
      <c r="A157" s="2">
        <v>1608</v>
      </c>
      <c r="B157" t="s">
        <v>171</v>
      </c>
      <c r="C157" t="s">
        <v>163</v>
      </c>
      <c r="D157" t="e" vm="621">
        <v>#VALUE!</v>
      </c>
      <c r="E157" s="2" cm="1" vm="622">
        <f t="array" aca="1" ref="E157" ca="1">_FV(D157,"Population")</f>
        <v>2730</v>
      </c>
      <c r="F157" s="4" cm="1">
        <f t="array" aca="1" ref="F157" ca="1">_xlfn.IFS(E157&lt;2500,E157/10,AND(E157&gt;=2500,E157&lt;25000),E157/25,AND(E157&gt;=25000,E157&lt;100000),E157/50,AND(E157&gt;=100000,E157&lt;1000000),E157/100,AND(E157&gt;=1000000,E157&lt;2000000),E157/150,AND(E157&gt;=2000000,E157&lt;3000000),E157/200,E157&gt;=3000000,E157/250)</f>
        <v>109.2</v>
      </c>
      <c r="G157" s="2" t="str" cm="1">
        <f t="array" aca="1" ref="G157" ca="1">IFERROR(_xlfn.IFS(AND(E157&lt;80000,E157&gt;15000),"MEDIUM",E157&gt;80000,"LARGE",E157&lt;15000,"SMALL"),"SMALL")</f>
        <v>SMALL</v>
      </c>
      <c r="H157" s="2" t="str">
        <f t="shared" ca="1" si="2"/>
        <v>false</v>
      </c>
      <c r="I157" s="10" cm="1" vm="623">
        <f t="array" aca="1" ref="I157" ca="1">_FV(D157,"Latitude")</f>
        <v>43.586260699999997</v>
      </c>
      <c r="J157" s="10" cm="1" vm="624">
        <f t="array" aca="1" ref="J157" ca="1">_FV(D157,"Longitude")</f>
        <v>-119.0541032</v>
      </c>
      <c r="K157">
        <v>1109</v>
      </c>
      <c r="L157">
        <v>1180</v>
      </c>
      <c r="M157" s="2" t="s">
        <v>15</v>
      </c>
    </row>
    <row r="158" spans="1:13" x14ac:dyDescent="0.25">
      <c r="A158" s="2">
        <v>1635</v>
      </c>
      <c r="B158" t="s">
        <v>172</v>
      </c>
      <c r="C158" t="s">
        <v>163</v>
      </c>
      <c r="D158" t="e" vm="625">
        <v>#VALUE!</v>
      </c>
      <c r="E158" s="2" cm="1" vm="626">
        <f t="array" aca="1" ref="E158" ca="1">_FV(D158,"Population")</f>
        <v>15985</v>
      </c>
      <c r="F158" s="4" cm="1">
        <f t="array" aca="1" ref="F158" ca="1">_xlfn.IFS(E158&lt;2500,E158/10,AND(E158&gt;=2500,E158&lt;25000),E158/25,AND(E158&gt;=25000,E158&lt;100000),E158/50,AND(E158&gt;=100000,E158&lt;1000000),E158/100,AND(E158&gt;=1000000,E158&lt;2000000),E158/150,AND(E158&gt;=2000000,E158&lt;3000000),E158/200,E158&gt;=3000000,E158/250)</f>
        <v>639.4</v>
      </c>
      <c r="G158" s="2" t="str" cm="1">
        <f t="array" aca="1" ref="G158" ca="1">IFERROR(_xlfn.IFS(AND(E158&lt;80000,E158&gt;15000),"MEDIUM",E158&gt;80000,"LARGE",E158&lt;15000,"SMALL"),"SMALL")</f>
        <v>MEDIUM</v>
      </c>
      <c r="H158" s="2" t="str">
        <f t="shared" ca="1" si="2"/>
        <v>false</v>
      </c>
      <c r="I158" s="10" cm="1" vm="627">
        <f t="array" aca="1" ref="I158" ca="1">_FV(D158,"Latitude")</f>
        <v>43.376388888888997</v>
      </c>
      <c r="J158" s="10" cm="1" vm="628">
        <f t="array" aca="1" ref="J158" ca="1">_FV(D158,"Longitude")</f>
        <v>-124.23722222222</v>
      </c>
      <c r="K158">
        <v>1152</v>
      </c>
      <c r="L158">
        <v>119</v>
      </c>
      <c r="M158" s="2" t="s">
        <v>15</v>
      </c>
    </row>
    <row r="159" spans="1:13" x14ac:dyDescent="0.25">
      <c r="A159" s="2">
        <v>1638</v>
      </c>
      <c r="B159" t="s">
        <v>173</v>
      </c>
      <c r="C159" t="s">
        <v>163</v>
      </c>
      <c r="D159" t="e" vm="629">
        <v>#VALUE!</v>
      </c>
      <c r="E159" s="2" cm="1" vm="630">
        <f t="array" aca="1" ref="E159" ca="1">_FV(D159,"Population")</f>
        <v>59922</v>
      </c>
      <c r="F159" s="4" cm="1">
        <f t="array" aca="1" ref="F159" ca="1">_xlfn.IFS(E159&lt;2500,E159/10,AND(E159&gt;=2500,E159&lt;25000),E159/25,AND(E159&gt;=25000,E159&lt;100000),E159/50,AND(E159&gt;=100000,E159&lt;1000000),E159/100,AND(E159&gt;=1000000,E159&lt;2000000),E159/150,AND(E159&gt;=2000000,E159&lt;3000000),E159/200,E159&gt;=3000000,E159/250)</f>
        <v>1198.44</v>
      </c>
      <c r="G159" s="2" t="str" cm="1">
        <f t="array" aca="1" ref="G159" ca="1">IFERROR(_xlfn.IFS(AND(E159&lt;80000,E159&gt;15000),"MEDIUM",E159&gt;80000,"LARGE",E159&lt;15000,"SMALL"),"SMALL")</f>
        <v>MEDIUM</v>
      </c>
      <c r="H159" s="2" t="str">
        <f t="shared" ca="1" si="2"/>
        <v>false</v>
      </c>
      <c r="I159" s="10" cm="1" vm="631">
        <f t="array" aca="1" ref="I159" ca="1">_FV(D159,"Latitude")</f>
        <v>44.570780555555999</v>
      </c>
      <c r="J159" s="10" cm="1" vm="632">
        <f t="array" aca="1" ref="J159" ca="1">_FV(D159,"Longitude")</f>
        <v>-123.27599722222</v>
      </c>
      <c r="K159">
        <v>908</v>
      </c>
      <c r="L159">
        <v>316</v>
      </c>
      <c r="M159" s="2" t="s">
        <v>15</v>
      </c>
    </row>
    <row r="160" spans="1:13" x14ac:dyDescent="0.25">
      <c r="A160" s="2">
        <v>1674</v>
      </c>
      <c r="B160" t="s">
        <v>174</v>
      </c>
      <c r="C160" t="s">
        <v>163</v>
      </c>
      <c r="D160" t="e" vm="633">
        <v>#VALUE!</v>
      </c>
      <c r="E160" s="2" cm="1" vm="634">
        <f t="array" aca="1" ref="E160" ca="1">_FV(D160,"Population")</f>
        <v>176654</v>
      </c>
      <c r="F160" s="4" cm="1">
        <f t="array" aca="1" ref="F160" ca="1">_xlfn.IFS(E160&lt;2500,E160/10,AND(E160&gt;=2500,E160&lt;25000),E160/25,AND(E160&gt;=25000,E160&lt;100000),E160/50,AND(E160&gt;=100000,E160&lt;1000000),E160/100,AND(E160&gt;=1000000,E160&lt;2000000),E160/150,AND(E160&gt;=2000000,E160&lt;3000000),E160/200,E160&gt;=3000000,E160/250)</f>
        <v>1766.54</v>
      </c>
      <c r="G160" s="2" t="str" cm="1">
        <f t="array" aca="1" ref="G160" ca="1">IFERROR(_xlfn.IFS(AND(E160&lt;80000,E160&gt;15000),"MEDIUM",E160&gt;80000,"LARGE",E160&lt;15000,"SMALL"),"SMALL")</f>
        <v>LARGE</v>
      </c>
      <c r="H160" s="2" t="str">
        <f t="shared" ca="1" si="2"/>
        <v>false</v>
      </c>
      <c r="I160" s="10" cm="1" vm="635">
        <f t="array" aca="1" ref="I160" ca="1">_FV(D160,"Latitude")</f>
        <v>44.051944444443997</v>
      </c>
      <c r="J160" s="10" cm="1" vm="636">
        <f t="array" aca="1" ref="J160" ca="1">_FV(D160,"Longitude")</f>
        <v>-123.08555555556001</v>
      </c>
      <c r="K160">
        <v>1014</v>
      </c>
      <c r="L160">
        <v>355</v>
      </c>
      <c r="M160" s="2" t="s">
        <v>15</v>
      </c>
    </row>
    <row r="161" spans="1:13" x14ac:dyDescent="0.25">
      <c r="A161" s="2">
        <v>1678</v>
      </c>
      <c r="B161" t="s">
        <v>175</v>
      </c>
      <c r="C161" t="s">
        <v>163</v>
      </c>
      <c r="D161" t="e" vm="637">
        <v>#VALUE!</v>
      </c>
      <c r="E161" s="2" cm="1" vm="638">
        <f t="array" aca="1" ref="E161" ca="1">_FV(D161,"Population")</f>
        <v>9396</v>
      </c>
      <c r="F161" s="4" cm="1">
        <f t="array" aca="1" ref="F161" ca="1">_xlfn.IFS(E161&lt;2500,E161/10,AND(E161&gt;=2500,E161&lt;25000),E161/25,AND(E161&gt;=25000,E161&lt;100000),E161/50,AND(E161&gt;=100000,E161&lt;1000000),E161/100,AND(E161&gt;=1000000,E161&lt;2000000),E161/150,AND(E161&gt;=2000000,E161&lt;3000000),E161/200,E161&gt;=3000000,E161/250)</f>
        <v>375.84</v>
      </c>
      <c r="G161" s="2" t="str" cm="1">
        <f t="array" aca="1" ref="G161" ca="1">IFERROR(_xlfn.IFS(AND(E161&lt;80000,E161&gt;15000),"MEDIUM",E161&gt;80000,"LARGE",E161&lt;15000,"SMALL"),"SMALL")</f>
        <v>SMALL</v>
      </c>
      <c r="H161" s="2" t="str">
        <f t="shared" ca="1" si="2"/>
        <v>false</v>
      </c>
      <c r="I161" s="10" cm="1" vm="639">
        <f t="array" aca="1" ref="I161" ca="1">_FV(D161,"Latitude")</f>
        <v>43.984166666667001</v>
      </c>
      <c r="J161" s="10" cm="1" vm="640">
        <f t="array" aca="1" ref="J161" ca="1">_FV(D161,"Longitude")</f>
        <v>-124.10305555556</v>
      </c>
      <c r="K161">
        <v>1028</v>
      </c>
      <c r="L161">
        <v>146</v>
      </c>
      <c r="M161" s="2" t="s">
        <v>15</v>
      </c>
    </row>
    <row r="162" spans="1:13" x14ac:dyDescent="0.25">
      <c r="A162" s="2">
        <v>1703</v>
      </c>
      <c r="B162" t="s">
        <v>176</v>
      </c>
      <c r="C162" t="s">
        <v>163</v>
      </c>
      <c r="D162" t="e" vm="641">
        <v>#VALUE!</v>
      </c>
      <c r="E162" s="2" cm="1" vm="642">
        <f t="array" aca="1" ref="E162" ca="1">_FV(D162,"Population")</f>
        <v>39189</v>
      </c>
      <c r="F162" s="4" cm="1">
        <f t="array" aca="1" ref="F162" ca="1">_xlfn.IFS(E162&lt;2500,E162/10,AND(E162&gt;=2500,E162&lt;25000),E162/25,AND(E162&gt;=25000,E162&lt;100000),E162/50,AND(E162&gt;=100000,E162&lt;1000000),E162/100,AND(E162&gt;=1000000,E162&lt;2000000),E162/150,AND(E162&gt;=2000000,E162&lt;3000000),E162/200,E162&gt;=3000000,E162/250)</f>
        <v>783.78</v>
      </c>
      <c r="G162" s="2" t="str" cm="1">
        <f t="array" aca="1" ref="G162" ca="1">IFERROR(_xlfn.IFS(AND(E162&lt;80000,E162&gt;15000),"MEDIUM",E162&gt;80000,"LARGE",E162&lt;15000,"SMALL"),"SMALL")</f>
        <v>MEDIUM</v>
      </c>
      <c r="H162" s="2" t="str">
        <f t="shared" ca="1" si="2"/>
        <v>false</v>
      </c>
      <c r="I162" s="10" cm="1" vm="643">
        <f t="array" aca="1" ref="I162" ca="1">_FV(D162,"Latitude")</f>
        <v>42.438888888888997</v>
      </c>
      <c r="J162" s="10" cm="1" vm="644">
        <f t="array" aca="1" ref="J162" ca="1">_FV(D162,"Longitude")</f>
        <v>-123.32833333332999</v>
      </c>
      <c r="K162">
        <v>1344</v>
      </c>
      <c r="L162">
        <v>305</v>
      </c>
      <c r="M162" s="2" t="s">
        <v>15</v>
      </c>
    </row>
    <row r="163" spans="1:13" x14ac:dyDescent="0.25">
      <c r="A163" s="2">
        <v>1706</v>
      </c>
      <c r="B163" t="s">
        <v>177</v>
      </c>
      <c r="C163" t="s">
        <v>163</v>
      </c>
      <c r="D163" t="e" vm="645">
        <v>#VALUE!</v>
      </c>
      <c r="E163" s="2" cm="1" vm="646">
        <f t="array" aca="1" ref="E163" ca="1">_FV(D163,"Population")</f>
        <v>114247</v>
      </c>
      <c r="F163" s="4" cm="1">
        <f t="array" aca="1" ref="F163" ca="1">_xlfn.IFS(E163&lt;2500,E163/10,AND(E163&gt;=2500,E163&lt;25000),E163/25,AND(E163&gt;=25000,E163&lt;100000),E163/50,AND(E163&gt;=100000,E163&lt;1000000),E163/100,AND(E163&gt;=1000000,E163&lt;2000000),E163/150,AND(E163&gt;=2000000,E163&lt;3000000),E163/200,E163&gt;=3000000,E163/250)</f>
        <v>1142.47</v>
      </c>
      <c r="G163" s="2" t="str" cm="1">
        <f t="array" aca="1" ref="G163" ca="1">IFERROR(_xlfn.IFS(AND(E163&lt;80000,E163&gt;15000),"MEDIUM",E163&gt;80000,"LARGE",E163&lt;15000,"SMALL"),"SMALL")</f>
        <v>LARGE</v>
      </c>
      <c r="H163" s="2" t="str">
        <f t="shared" ca="1" si="2"/>
        <v>false</v>
      </c>
      <c r="I163" s="10" cm="1" vm="647">
        <f t="array" aca="1" ref="I163" ca="1">_FV(D163,"Latitude")</f>
        <v>45.503611111110999</v>
      </c>
      <c r="J163" s="10" cm="1" vm="648">
        <f t="array" aca="1" ref="J163" ca="1">_FV(D163,"Longitude")</f>
        <v>-122.43944444444</v>
      </c>
      <c r="K163">
        <v>717</v>
      </c>
      <c r="L163">
        <v>487</v>
      </c>
      <c r="M163" s="2" t="s">
        <v>15</v>
      </c>
    </row>
    <row r="164" spans="1:13" x14ac:dyDescent="0.25">
      <c r="A164" s="2">
        <v>1720</v>
      </c>
      <c r="B164" t="s">
        <v>178</v>
      </c>
      <c r="C164" t="s">
        <v>163</v>
      </c>
      <c r="D164" t="e" vm="649">
        <v>#VALUE!</v>
      </c>
      <c r="E164" s="2" cm="1" vm="650">
        <f t="array" aca="1" ref="E164" ca="1">_FV(D164,"Population")</f>
        <v>106447</v>
      </c>
      <c r="F164" s="4" cm="1">
        <f t="array" aca="1" ref="F164" ca="1">_xlfn.IFS(E164&lt;2500,E164/10,AND(E164&gt;=2500,E164&lt;25000),E164/25,AND(E164&gt;=25000,E164&lt;100000),E164/50,AND(E164&gt;=100000,E164&lt;1000000),E164/100,AND(E164&gt;=1000000,E164&lt;2000000),E164/150,AND(E164&gt;=2000000,E164&lt;3000000),E164/200,E164&gt;=3000000,E164/250)</f>
        <v>1064.47</v>
      </c>
      <c r="G164" s="2" t="str" cm="1">
        <f t="array" aca="1" ref="G164" ca="1">IFERROR(_xlfn.IFS(AND(E164&lt;80000,E164&gt;15000),"MEDIUM",E164&gt;80000,"LARGE",E164&lt;15000,"SMALL"),"SMALL")</f>
        <v>LARGE</v>
      </c>
      <c r="H164" s="2" t="str">
        <f t="shared" ca="1" si="2"/>
        <v>false</v>
      </c>
      <c r="I164" s="10" cm="1" vm="651">
        <f t="array" aca="1" ref="I164" ca="1">_FV(D164,"Latitude")</f>
        <v>45.522777777777797</v>
      </c>
      <c r="J164" s="10" cm="1" vm="652">
        <f t="array" aca="1" ref="J164" ca="1">_FV(D164,"Longitude")</f>
        <v>-122.989722222222</v>
      </c>
      <c r="K164">
        <v>713</v>
      </c>
      <c r="L164">
        <v>374</v>
      </c>
      <c r="M164" s="2" t="s">
        <v>15</v>
      </c>
    </row>
    <row r="165" spans="1:13" x14ac:dyDescent="0.25">
      <c r="A165" s="2">
        <v>1750</v>
      </c>
      <c r="B165" t="s">
        <v>179</v>
      </c>
      <c r="C165" t="s">
        <v>163</v>
      </c>
      <c r="D165" t="e" vm="653">
        <v>#VALUE!</v>
      </c>
      <c r="E165" s="2" cm="1" vm="654">
        <f t="array" aca="1" ref="E165" ca="1">_FV(D165,"Population")</f>
        <v>21813</v>
      </c>
      <c r="F165" s="4" cm="1">
        <f t="array" aca="1" ref="F165" ca="1">_xlfn.IFS(E165&lt;2500,E165/10,AND(E165&gt;=2500,E165&lt;25000),E165/25,AND(E165&gt;=25000,E165&lt;100000),E165/50,AND(E165&gt;=100000,E165&lt;1000000),E165/100,AND(E165&gt;=1000000,E165&lt;2000000),E165/150,AND(E165&gt;=2000000,E165&lt;3000000),E165/200,E165&gt;=3000000,E165/250)</f>
        <v>872.52</v>
      </c>
      <c r="G165" s="2" t="str" cm="1">
        <f t="array" aca="1" ref="G165" ca="1">IFERROR(_xlfn.IFS(AND(E165&lt;80000,E165&gt;15000),"MEDIUM",E165&gt;80000,"LARGE",E165&lt;15000,"SMALL"),"SMALL")</f>
        <v>MEDIUM</v>
      </c>
      <c r="H165" s="2" t="str">
        <f t="shared" ca="1" si="2"/>
        <v>false</v>
      </c>
      <c r="I165" s="10" cm="1" vm="655">
        <f t="array" aca="1" ref="I165" ca="1">_FV(D165,"Latitude")</f>
        <v>42.223333333333002</v>
      </c>
      <c r="J165" s="10" cm="1" vm="656">
        <f t="array" aca="1" ref="J165" ca="1">_FV(D165,"Longitude")</f>
        <v>-121.7775</v>
      </c>
      <c r="K165">
        <v>1388</v>
      </c>
      <c r="L165">
        <v>623</v>
      </c>
      <c r="M165" s="2" t="s">
        <v>15</v>
      </c>
    </row>
    <row r="166" spans="1:13" x14ac:dyDescent="0.25">
      <c r="A166" s="2">
        <v>1759</v>
      </c>
      <c r="B166" t="s">
        <v>180</v>
      </c>
      <c r="C166" t="s">
        <v>163</v>
      </c>
      <c r="D166" t="e" vm="657">
        <v>#VALUE!</v>
      </c>
      <c r="E166" s="2" cm="1" vm="658">
        <f t="array" aca="1" ref="E166" ca="1">_FV(D166,"Population")</f>
        <v>2418</v>
      </c>
      <c r="F166" s="4" cm="1">
        <f t="array" aca="1" ref="F166" ca="1">_xlfn.IFS(E166&lt;2500,E166/10,AND(E166&gt;=2500,E166&lt;25000),E166/25,AND(E166&gt;=25000,E166&lt;100000),E166/50,AND(E166&gt;=100000,E166&lt;1000000),E166/100,AND(E166&gt;=1000000,E166&lt;2000000),E166/150,AND(E166&gt;=2000000,E166&lt;3000000),E166/200,E166&gt;=3000000,E166/250)</f>
        <v>241.8</v>
      </c>
      <c r="G166" s="2" t="str" cm="1">
        <f t="array" aca="1" ref="G166" ca="1">IFERROR(_xlfn.IFS(AND(E166&lt;80000,E166&gt;15000),"MEDIUM",E166&gt;80000,"LARGE",E166&lt;15000,"SMALL"),"SMALL")</f>
        <v>SMALL</v>
      </c>
      <c r="H166" s="2" t="str">
        <f t="shared" ca="1" si="2"/>
        <v>false</v>
      </c>
      <c r="I166" s="10" cm="1" vm="659">
        <f t="array" aca="1" ref="I166" ca="1">_FV(D166,"Latitude")</f>
        <v>42.188888888888997</v>
      </c>
      <c r="J166" s="10" cm="1" vm="660">
        <f t="array" aca="1" ref="J166" ca="1">_FV(D166,"Longitude")</f>
        <v>-120.34583333333001</v>
      </c>
      <c r="K166">
        <v>1395</v>
      </c>
      <c r="L166">
        <v>916</v>
      </c>
      <c r="M166" s="2" t="s">
        <v>15</v>
      </c>
    </row>
    <row r="167" spans="1:13" x14ac:dyDescent="0.25">
      <c r="A167" s="2">
        <v>1764</v>
      </c>
      <c r="B167" t="s">
        <v>181</v>
      </c>
      <c r="C167" t="s">
        <v>163</v>
      </c>
      <c r="D167" t="e" vm="661">
        <v>#VALUE!</v>
      </c>
      <c r="E167" s="2" cm="1" vm="662">
        <f t="array" aca="1" ref="E167" ca="1">_FV(D167,"Population")</f>
        <v>9815</v>
      </c>
      <c r="F167" s="4" cm="1">
        <f t="array" aca="1" ref="F167" ca="1">_xlfn.IFS(E167&lt;2500,E167/10,AND(E167&gt;=2500,E167&lt;25000),E167/25,AND(E167&gt;=25000,E167&lt;100000),E167/50,AND(E167&gt;=100000,E167&lt;1000000),E167/100,AND(E167&gt;=1000000,E167&lt;2000000),E167/150,AND(E167&gt;=2000000,E167&lt;3000000),E167/200,E167&gt;=3000000,E167/250)</f>
        <v>392.6</v>
      </c>
      <c r="G167" s="2" t="str" cm="1">
        <f t="array" aca="1" ref="G167" ca="1">IFERROR(_xlfn.IFS(AND(E167&lt;80000,E167&gt;15000),"MEDIUM",E167&gt;80000,"LARGE",E167&lt;15000,"SMALL"),"SMALL")</f>
        <v>SMALL</v>
      </c>
      <c r="H167" s="2" t="str">
        <f t="shared" ca="1" si="2"/>
        <v>false</v>
      </c>
      <c r="I167" s="10" cm="1" vm="663">
        <f t="array" aca="1" ref="I167" ca="1">_FV(D167,"Latitude")</f>
        <v>44.961388888888997</v>
      </c>
      <c r="J167" s="10" cm="1" vm="664">
        <f t="array" aca="1" ref="J167" ca="1">_FV(D167,"Longitude")</f>
        <v>-124.01555555556</v>
      </c>
      <c r="K167">
        <v>828</v>
      </c>
      <c r="L167">
        <v>164</v>
      </c>
      <c r="M167" s="2" t="s">
        <v>15</v>
      </c>
    </row>
    <row r="168" spans="1:13" x14ac:dyDescent="0.25">
      <c r="A168" s="2">
        <v>1783</v>
      </c>
      <c r="B168" t="s">
        <v>182</v>
      </c>
      <c r="C168" t="s">
        <v>163</v>
      </c>
      <c r="D168" t="e" vm="665">
        <v>#VALUE!</v>
      </c>
      <c r="E168" s="2" cm="1" vm="666">
        <f t="array" aca="1" ref="E168" ca="1">_FV(D168,"Population")</f>
        <v>85824</v>
      </c>
      <c r="F168" s="4" cm="1">
        <f t="array" aca="1" ref="F168" ca="1">_xlfn.IFS(E168&lt;2500,E168/10,AND(E168&gt;=2500,E168&lt;25000),E168/25,AND(E168&gt;=25000,E168&lt;100000),E168/50,AND(E168&gt;=100000,E168&lt;1000000),E168/100,AND(E168&gt;=1000000,E168&lt;2000000),E168/150,AND(E168&gt;=2000000,E168&lt;3000000),E168/200,E168&gt;=3000000,E168/250)</f>
        <v>1716.48</v>
      </c>
      <c r="G168" s="2" t="str" cm="1">
        <f t="array" aca="1" ref="G168" ca="1">IFERROR(_xlfn.IFS(AND(E168&lt;80000,E168&gt;15000),"MEDIUM",E168&gt;80000,"LARGE",E168&lt;15000,"SMALL"),"SMALL")</f>
        <v>LARGE</v>
      </c>
      <c r="H168" s="2" t="str">
        <f t="shared" ca="1" si="2"/>
        <v>false</v>
      </c>
      <c r="I168" s="10" cm="1" vm="667">
        <f t="array" aca="1" ref="I168" ca="1">_FV(D168,"Latitude")</f>
        <v>42.331940000000003</v>
      </c>
      <c r="J168" s="10" cm="1" vm="668">
        <f t="array" aca="1" ref="J168" ca="1">_FV(D168,"Longitude")</f>
        <v>-122.86167</v>
      </c>
      <c r="K168">
        <v>1366</v>
      </c>
      <c r="L168">
        <v>401</v>
      </c>
      <c r="M168" s="2" t="s">
        <v>15</v>
      </c>
    </row>
    <row r="169" spans="1:13" x14ac:dyDescent="0.25">
      <c r="A169" s="2">
        <v>1818</v>
      </c>
      <c r="B169" t="s">
        <v>183</v>
      </c>
      <c r="C169" t="s">
        <v>163</v>
      </c>
      <c r="D169" t="e" vm="669">
        <v>#VALUE!</v>
      </c>
      <c r="E169" s="2" cm="1" vm="670">
        <f t="array" aca="1" ref="E169" ca="1">_FV(D169,"Population")</f>
        <v>10256</v>
      </c>
      <c r="F169" s="4" cm="1">
        <f t="array" aca="1" ref="F169" ca="1">_xlfn.IFS(E169&lt;2500,E169/10,AND(E169&gt;=2500,E169&lt;25000),E169/25,AND(E169&gt;=25000,E169&lt;100000),E169/50,AND(E169&gt;=100000,E169&lt;1000000),E169/100,AND(E169&gt;=1000000,E169&lt;2000000),E169/150,AND(E169&gt;=2000000,E169&lt;3000000),E169/200,E169&gt;=3000000,E169/250)</f>
        <v>410.24</v>
      </c>
      <c r="G169" s="2" t="str" cm="1">
        <f t="array" aca="1" ref="G169" ca="1">IFERROR(_xlfn.IFS(AND(E169&lt;80000,E169&gt;15000),"MEDIUM",E169&gt;80000,"LARGE",E169&lt;15000,"SMALL"),"SMALL")</f>
        <v>SMALL</v>
      </c>
      <c r="H169" s="2" t="str">
        <f t="shared" ca="1" si="2"/>
        <v>false</v>
      </c>
      <c r="I169" s="10" cm="1" vm="671">
        <f t="array" aca="1" ref="I169" ca="1">_FV(D169,"Latitude")</f>
        <v>44.636666666666997</v>
      </c>
      <c r="J169" s="10" cm="1" vm="672">
        <f t="array" aca="1" ref="J169" ca="1">_FV(D169,"Longitude")</f>
        <v>-124.05333333333</v>
      </c>
      <c r="K169">
        <v>894</v>
      </c>
      <c r="L169">
        <v>157</v>
      </c>
      <c r="M169" s="2" t="s">
        <v>15</v>
      </c>
    </row>
    <row r="170" spans="1:13" x14ac:dyDescent="0.25">
      <c r="A170" s="2">
        <v>1831</v>
      </c>
      <c r="B170" t="s">
        <v>184</v>
      </c>
      <c r="C170" t="s">
        <v>163</v>
      </c>
      <c r="D170" t="e" vm="673">
        <v>#VALUE!</v>
      </c>
      <c r="E170" s="2" cm="1" vm="674">
        <f t="array" aca="1" ref="E170" ca="1">_FV(D170,"Population")</f>
        <v>11645</v>
      </c>
      <c r="F170" s="4" cm="1">
        <f t="array" aca="1" ref="F170" ca="1">_xlfn.IFS(E170&lt;2500,E170/10,AND(E170&gt;=2500,E170&lt;25000),E170/25,AND(E170&gt;=25000,E170&lt;100000),E170/50,AND(E170&gt;=100000,E170&lt;1000000),E170/100,AND(E170&gt;=1000000,E170&lt;2000000),E170/150,AND(E170&gt;=2000000,E170&lt;3000000),E170/200,E170&gt;=3000000,E170/250)</f>
        <v>465.8</v>
      </c>
      <c r="G170" s="2" t="str" cm="1">
        <f t="array" aca="1" ref="G170" ca="1">IFERROR(_xlfn.IFS(AND(E170&lt;80000,E170&gt;15000),"MEDIUM",E170&gt;80000,"LARGE",E170&lt;15000,"SMALL"),"SMALL")</f>
        <v>SMALL</v>
      </c>
      <c r="H170" s="2" t="str">
        <f t="shared" ca="1" si="2"/>
        <v>false</v>
      </c>
      <c r="I170" s="10" cm="1" vm="675">
        <f t="array" aca="1" ref="I170" ca="1">_FV(D170,"Latitude")</f>
        <v>44.026944444443998</v>
      </c>
      <c r="J170" s="10" cm="1" vm="676">
        <f t="array" aca="1" ref="J170" ca="1">_FV(D170,"Longitude")</f>
        <v>-116.96861111110999</v>
      </c>
      <c r="K170">
        <v>1019</v>
      </c>
      <c r="L170">
        <v>1608</v>
      </c>
      <c r="M170" s="2" t="s">
        <v>15</v>
      </c>
    </row>
    <row r="171" spans="1:13" x14ac:dyDescent="0.25">
      <c r="A171" s="2">
        <v>1846</v>
      </c>
      <c r="B171" t="s">
        <v>185</v>
      </c>
      <c r="C171" t="s">
        <v>163</v>
      </c>
      <c r="D171" t="e" vm="677">
        <v>#VALUE!</v>
      </c>
      <c r="E171" s="2" cm="1" vm="678">
        <f t="array" aca="1" ref="E171" ca="1">_FV(D171,"Population")</f>
        <v>652503</v>
      </c>
      <c r="F171" s="4" cm="1">
        <f t="array" aca="1" ref="F171" ca="1">_xlfn.IFS(E171&lt;2500,E171/10,AND(E171&gt;=2500,E171&lt;25000),E171/25,AND(E171&gt;=25000,E171&lt;100000),E171/50,AND(E171&gt;=100000,E171&lt;1000000),E171/100,AND(E171&gt;=1000000,E171&lt;2000000),E171/150,AND(E171&gt;=2000000,E171&lt;3000000),E171/200,E171&gt;=3000000,E171/250)</f>
        <v>6525.03</v>
      </c>
      <c r="G171" s="2" t="str" cm="1">
        <f t="array" aca="1" ref="G171" ca="1">IFERROR(_xlfn.IFS(AND(E171&lt;80000,E171&gt;15000),"MEDIUM",E171&gt;80000,"LARGE",E171&lt;15000,"SMALL"),"SMALL")</f>
        <v>LARGE</v>
      </c>
      <c r="H171" s="2" t="str">
        <f t="shared" ca="1" si="2"/>
        <v>true</v>
      </c>
      <c r="I171" s="10" cm="1" vm="679">
        <f t="array" aca="1" ref="I171" ca="1">_FV(D171,"Latitude")</f>
        <v>45.516666666667</v>
      </c>
      <c r="J171" s="10" cm="1" vm="680">
        <f t="array" aca="1" ref="J171" ca="1">_FV(D171,"Longitude")</f>
        <v>-122.66666666667</v>
      </c>
      <c r="K171">
        <v>714</v>
      </c>
      <c r="L171">
        <v>441</v>
      </c>
      <c r="M171" s="2" t="s">
        <v>15</v>
      </c>
    </row>
    <row r="172" spans="1:13" x14ac:dyDescent="0.25">
      <c r="A172" s="2">
        <v>1867</v>
      </c>
      <c r="B172" t="s">
        <v>186</v>
      </c>
      <c r="C172" t="s">
        <v>163</v>
      </c>
      <c r="D172" t="e" vm="681">
        <v>#VALUE!</v>
      </c>
      <c r="E172" s="2" cm="1" vm="682">
        <f t="array" aca="1" ref="E172" ca="1">_FV(D172,"Population")</f>
        <v>23683</v>
      </c>
      <c r="F172" s="4" cm="1">
        <f t="array" aca="1" ref="F172" ca="1">_xlfn.IFS(E172&lt;2500,E172/10,AND(E172&gt;=2500,E172&lt;25000),E172/25,AND(E172&gt;=25000,E172&lt;100000),E172/50,AND(E172&gt;=100000,E172&lt;1000000),E172/100,AND(E172&gt;=1000000,E172&lt;2000000),E172/150,AND(E172&gt;=2000000,E172&lt;3000000),E172/200,E172&gt;=3000000,E172/250)</f>
        <v>947.32</v>
      </c>
      <c r="G172" s="2" t="str" cm="1">
        <f t="array" aca="1" ref="G172" ca="1">IFERROR(_xlfn.IFS(AND(E172&lt;80000,E172&gt;15000),"MEDIUM",E172&gt;80000,"LARGE",E172&lt;15000,"SMALL"),"SMALL")</f>
        <v>MEDIUM</v>
      </c>
      <c r="H172" s="2" t="str">
        <f t="shared" ca="1" si="2"/>
        <v>false</v>
      </c>
      <c r="I172" s="10" cm="1" vm="683">
        <f t="array" aca="1" ref="I172" ca="1">_FV(D172,"Latitude")</f>
        <v>43.218055555555999</v>
      </c>
      <c r="J172" s="10" cm="1" vm="684">
        <f t="array" aca="1" ref="J172" ca="1">_FV(D172,"Longitude")</f>
        <v>-123.35611111111</v>
      </c>
      <c r="K172">
        <v>1185</v>
      </c>
      <c r="L172">
        <v>299</v>
      </c>
      <c r="M172" s="2" t="s">
        <v>15</v>
      </c>
    </row>
    <row r="173" spans="1:13" x14ac:dyDescent="0.25">
      <c r="A173" s="2">
        <v>1872</v>
      </c>
      <c r="B173" t="s">
        <v>187</v>
      </c>
      <c r="C173" t="s">
        <v>163</v>
      </c>
      <c r="D173" t="e" vm="685">
        <v>#VALUE!</v>
      </c>
      <c r="E173" s="2" cm="1" vm="686">
        <f t="array" aca="1" ref="E173" ca="1">_FV(D173,"Population")</f>
        <v>175535</v>
      </c>
      <c r="F173" s="4" cm="1">
        <f t="array" aca="1" ref="F173" ca="1">_xlfn.IFS(E173&lt;2500,E173/10,AND(E173&gt;=2500,E173&lt;25000),E173/25,AND(E173&gt;=25000,E173&lt;100000),E173/50,AND(E173&gt;=100000,E173&lt;1000000),E173/100,AND(E173&gt;=1000000,E173&lt;2000000),E173/150,AND(E173&gt;=2000000,E173&lt;3000000),E173/200,E173&gt;=3000000,E173/250)</f>
        <v>1755.35</v>
      </c>
      <c r="G173" s="2" t="str" cm="1">
        <f t="array" aca="1" ref="G173" ca="1">IFERROR(_xlfn.IFS(AND(E173&lt;80000,E173&gt;15000),"MEDIUM",E173&gt;80000,"LARGE",E173&lt;15000,"SMALL"),"SMALL")</f>
        <v>LARGE</v>
      </c>
      <c r="H173" s="2" t="str">
        <f t="shared" ca="1" si="2"/>
        <v>false</v>
      </c>
      <c r="I173" s="10" cm="1" vm="687">
        <f t="array" aca="1" ref="I173" ca="1">_FV(D173,"Latitude")</f>
        <v>44.930833333332998</v>
      </c>
      <c r="J173" s="10" cm="1" vm="688">
        <f t="array" aca="1" ref="J173" ca="1">_FV(D173,"Longitude")</f>
        <v>-123.02888888888999</v>
      </c>
      <c r="K173">
        <v>834</v>
      </c>
      <c r="L173">
        <v>366</v>
      </c>
      <c r="M173" s="2" t="s">
        <v>15</v>
      </c>
    </row>
    <row r="174" spans="1:13" x14ac:dyDescent="0.25">
      <c r="A174" s="2">
        <v>1964</v>
      </c>
      <c r="B174" t="s">
        <v>188</v>
      </c>
      <c r="C174" t="s">
        <v>189</v>
      </c>
      <c r="D174" t="e" vm="689">
        <v>#VALUE!</v>
      </c>
      <c r="E174" s="2" cm="1" vm="690">
        <f t="array" aca="1" ref="E174" ca="1">_FV(D174,"Population")</f>
        <v>167</v>
      </c>
      <c r="F174" s="4" cm="1">
        <f t="array" aca="1" ref="F174" ca="1">_xlfn.IFS(E174&lt;2500,E174/10,AND(E174&gt;=2500,E174&lt;25000),E174/25,AND(E174&gt;=25000,E174&lt;100000),E174/50,AND(E174&gt;=100000,E174&lt;1000000),E174/100,AND(E174&gt;=1000000,E174&lt;2000000),E174/150,AND(E174&gt;=2000000,E174&lt;3000000),E174/200,E174&gt;=3000000,E174/250)</f>
        <v>16.7</v>
      </c>
      <c r="G174" s="2" t="str" cm="1">
        <f t="array" aca="1" ref="G174" ca="1">IFERROR(_xlfn.IFS(AND(E174&lt;80000,E174&gt;15000),"MEDIUM",E174&gt;80000,"LARGE",E174&lt;15000,"SMALL"),"SMALL")</f>
        <v>SMALL</v>
      </c>
      <c r="H174" s="2" t="str">
        <f t="shared" ca="1" si="2"/>
        <v>false</v>
      </c>
      <c r="I174" s="10" cm="1" vm="691">
        <f t="array" aca="1" ref="I174" ca="1">_FV(D174,"Latitude")</f>
        <v>39.491944444444002</v>
      </c>
      <c r="J174" s="10" cm="1" vm="692">
        <f t="array" aca="1" ref="J174" ca="1">_FV(D174,"Longitude")</f>
        <v>-117.07027777778001</v>
      </c>
      <c r="K174">
        <v>1948</v>
      </c>
      <c r="L174">
        <v>1587</v>
      </c>
      <c r="M174" s="2" t="s">
        <v>15</v>
      </c>
    </row>
    <row r="175" spans="1:13" x14ac:dyDescent="0.25">
      <c r="A175" s="2">
        <v>1966</v>
      </c>
      <c r="B175" t="s">
        <v>190</v>
      </c>
      <c r="C175" t="s">
        <v>189</v>
      </c>
      <c r="D175" t="e" vm="693">
        <v>#VALUE!</v>
      </c>
      <c r="E175" s="2" cm="1" vm="694">
        <f t="array" aca="1" ref="E175" ca="1">_FV(D175,"Population")</f>
        <v>3705</v>
      </c>
      <c r="F175" s="4" cm="1">
        <f t="array" aca="1" ref="F175" ca="1">_xlfn.IFS(E175&lt;2500,E175/10,AND(E175&gt;=2500,E175&lt;25000),E175/25,AND(E175&gt;=25000,E175&lt;100000),E175/50,AND(E175&gt;=100000,E175&lt;1000000),E175/100,AND(E175&gt;=1000000,E175&lt;2000000),E175/150,AND(E175&gt;=2000000,E175&lt;3000000),E175/200,E175&gt;=3000000,E175/250)</f>
        <v>148.19999999999999</v>
      </c>
      <c r="G175" s="2" t="str" cm="1">
        <f t="array" aca="1" ref="G175" ca="1">IFERROR(_xlfn.IFS(AND(E175&lt;80000,E175&gt;15000),"MEDIUM",E175&gt;80000,"LARGE",E175&lt;15000,"SMALL"),"SMALL")</f>
        <v>SMALL</v>
      </c>
      <c r="H175" s="2" t="str">
        <f t="shared" ca="1" si="2"/>
        <v>false</v>
      </c>
      <c r="I175" s="10" cm="1" vm="695">
        <f t="array" aca="1" ref="I175" ca="1">_FV(D175,"Latitude")</f>
        <v>40.639444444444003</v>
      </c>
      <c r="J175" s="10" cm="1" vm="696">
        <f t="array" aca="1" ref="J175" ca="1">_FV(D175,"Longitude")</f>
        <v>-116.93722222222</v>
      </c>
      <c r="K175">
        <v>1713</v>
      </c>
      <c r="L175">
        <v>1614</v>
      </c>
      <c r="M175" s="2" t="s">
        <v>15</v>
      </c>
    </row>
    <row r="176" spans="1:13" x14ac:dyDescent="0.25">
      <c r="A176" s="2">
        <v>1970</v>
      </c>
      <c r="B176" t="s">
        <v>191</v>
      </c>
      <c r="C176" t="s">
        <v>189</v>
      </c>
      <c r="D176" t="e" vm="697">
        <v>#VALUE!</v>
      </c>
      <c r="E176" s="2" cm="1" vm="698">
        <f t="array" aca="1" ref="E176" ca="1">_FV(D176,"Population")</f>
        <v>2050</v>
      </c>
      <c r="F176" s="4" cm="1">
        <f t="array" aca="1" ref="F176" ca="1">_xlfn.IFS(E176&lt;2500,E176/10,AND(E176&gt;=2500,E176&lt;25000),E176/25,AND(E176&gt;=25000,E176&lt;100000),E176/50,AND(E176&gt;=100000,E176&lt;1000000),E176/100,AND(E176&gt;=1000000,E176&lt;2000000),E176/150,AND(E176&gt;=2000000,E176&lt;3000000),E176/200,E176&gt;=3000000,E176/250)</f>
        <v>205</v>
      </c>
      <c r="G176" s="2" t="str" cm="1">
        <f t="array" aca="1" ref="G176" ca="1">IFERROR(_xlfn.IFS(AND(E176&lt;80000,E176&gt;15000),"MEDIUM",E176&gt;80000,"LARGE",E176&lt;15000,"SMALL"),"SMALL")</f>
        <v>SMALL</v>
      </c>
      <c r="H176" s="2" t="str">
        <f t="shared" ca="1" si="2"/>
        <v>false</v>
      </c>
      <c r="I176" s="10" cm="1" vm="699">
        <f t="array" aca="1" ref="I176" ca="1">_FV(D176,"Latitude")</f>
        <v>40.714185999999998</v>
      </c>
      <c r="J176" s="10" cm="1" vm="700">
        <f t="array" aca="1" ref="J176" ca="1">_FV(D176,"Longitude")</f>
        <v>-116.11312700000001</v>
      </c>
      <c r="K176">
        <v>1697</v>
      </c>
      <c r="L176">
        <v>1783</v>
      </c>
      <c r="M176" s="2" t="s">
        <v>15</v>
      </c>
    </row>
    <row r="177" spans="1:13" x14ac:dyDescent="0.25">
      <c r="A177" s="2">
        <v>1971</v>
      </c>
      <c r="B177" t="s">
        <v>192</v>
      </c>
      <c r="C177" t="s">
        <v>189</v>
      </c>
      <c r="D177" t="e" vm="701">
        <v>#VALUE!</v>
      </c>
      <c r="E177" s="2" cm="1" vm="702">
        <f t="array" aca="1" ref="E177" ca="1">_FV(D177,"Population")</f>
        <v>58639</v>
      </c>
      <c r="F177" s="4" cm="1">
        <f t="array" aca="1" ref="F177" ca="1">_xlfn.IFS(E177&lt;2500,E177/10,AND(E177&gt;=2500,E177&lt;25000),E177/25,AND(E177&gt;=25000,E177&lt;100000),E177/50,AND(E177&gt;=100000,E177&lt;1000000),E177/100,AND(E177&gt;=1000000,E177&lt;2000000),E177/150,AND(E177&gt;=2000000,E177&lt;3000000),E177/200,E177&gt;=3000000,E177/250)</f>
        <v>1172.78</v>
      </c>
      <c r="G177" s="2" t="str" cm="1">
        <f t="array" aca="1" ref="G177" ca="1">IFERROR(_xlfn.IFS(AND(E177&lt;80000,E177&gt;15000),"MEDIUM",E177&gt;80000,"LARGE",E177&lt;15000,"SMALL"),"SMALL")</f>
        <v>MEDIUM</v>
      </c>
      <c r="H177" s="2" t="str">
        <f t="shared" ca="1" si="2"/>
        <v>false</v>
      </c>
      <c r="I177" s="10" cm="1" vm="703">
        <f t="array" aca="1" ref="I177" ca="1">_FV(D177,"Latitude")</f>
        <v>39.160833333333002</v>
      </c>
      <c r="J177" s="10" cm="1" vm="704">
        <f t="array" aca="1" ref="J177" ca="1">_FV(D177,"Longitude")</f>
        <v>-119.75388888889</v>
      </c>
      <c r="K177">
        <v>2016</v>
      </c>
      <c r="L177">
        <v>1037</v>
      </c>
      <c r="M177" s="2" t="s">
        <v>15</v>
      </c>
    </row>
    <row r="178" spans="1:13" x14ac:dyDescent="0.25">
      <c r="A178" s="2">
        <v>1981</v>
      </c>
      <c r="B178" t="s">
        <v>193</v>
      </c>
      <c r="C178" t="s">
        <v>189</v>
      </c>
      <c r="D178" t="e" vm="705">
        <v>#VALUE!</v>
      </c>
      <c r="E178" s="2" cm="1" vm="706">
        <f t="array" aca="1" ref="E178" ca="1">_FV(D178,"Population")</f>
        <v>20564</v>
      </c>
      <c r="F178" s="4" cm="1">
        <f t="array" aca="1" ref="F178" ca="1">_xlfn.IFS(E178&lt;2500,E178/10,AND(E178&gt;=2500,E178&lt;25000),E178/25,AND(E178&gt;=25000,E178&lt;100000),E178/50,AND(E178&gt;=100000,E178&lt;1000000),E178/100,AND(E178&gt;=1000000,E178&lt;2000000),E178/150,AND(E178&gt;=2000000,E178&lt;3000000),E178/200,E178&gt;=3000000,E178/250)</f>
        <v>822.56</v>
      </c>
      <c r="G178" s="2" t="str" cm="1">
        <f t="array" aca="1" ref="G178" ca="1">IFERROR(_xlfn.IFS(AND(E178&lt;80000,E178&gt;15000),"MEDIUM",E178&gt;80000,"LARGE",E178&lt;15000,"SMALL"),"SMALL")</f>
        <v>MEDIUM</v>
      </c>
      <c r="H178" s="2" t="str">
        <f t="shared" ca="1" si="2"/>
        <v>false</v>
      </c>
      <c r="I178" s="10" cm="1" vm="707">
        <f t="array" aca="1" ref="I178" ca="1">_FV(D178,"Latitude")</f>
        <v>40.832472222222201</v>
      </c>
      <c r="J178" s="10" cm="1" vm="708">
        <f t="array" aca="1" ref="J178" ca="1">_FV(D178,"Longitude")</f>
        <v>-115.763166666667</v>
      </c>
      <c r="K178">
        <v>1673</v>
      </c>
      <c r="L178">
        <v>1854</v>
      </c>
      <c r="M178" s="2" t="s">
        <v>15</v>
      </c>
    </row>
    <row r="179" spans="1:13" x14ac:dyDescent="0.25">
      <c r="A179" s="2">
        <v>1982</v>
      </c>
      <c r="B179" t="s">
        <v>194</v>
      </c>
      <c r="C179" t="s">
        <v>189</v>
      </c>
      <c r="D179" t="e" vm="709">
        <v>#VALUE!</v>
      </c>
      <c r="E179" s="2" cm="1" vm="710">
        <f t="array" aca="1" ref="E179" ca="1">_FV(D179,"Population")</f>
        <v>3924</v>
      </c>
      <c r="F179" s="4" cm="1">
        <f t="array" aca="1" ref="F179" ca="1">_xlfn.IFS(E179&lt;2500,E179/10,AND(E179&gt;=2500,E179&lt;25000),E179/25,AND(E179&gt;=25000,E179&lt;100000),E179/50,AND(E179&gt;=100000,E179&lt;1000000),E179/100,AND(E179&gt;=1000000,E179&lt;2000000),E179/150,AND(E179&gt;=2000000,E179&lt;3000000),E179/200,E179&gt;=3000000,E179/250)</f>
        <v>156.96</v>
      </c>
      <c r="G179" s="2" t="str" cm="1">
        <f t="array" aca="1" ref="G179" ca="1">IFERROR(_xlfn.IFS(AND(E179&lt;80000,E179&gt;15000),"MEDIUM",E179&gt;80000,"LARGE",E179&lt;15000,"SMALL"),"SMALL")</f>
        <v>SMALL</v>
      </c>
      <c r="H179" s="2" t="str">
        <f t="shared" ca="1" si="2"/>
        <v>false</v>
      </c>
      <c r="I179" s="10" cm="1" vm="711">
        <f t="array" aca="1" ref="I179" ca="1">_FV(D179,"Latitude")</f>
        <v>39.253333333333003</v>
      </c>
      <c r="J179" s="10" cm="1" vm="712">
        <f t="array" aca="1" ref="J179" ca="1">_FV(D179,"Longitude")</f>
        <v>-114.87722222222</v>
      </c>
      <c r="K179">
        <v>1997</v>
      </c>
      <c r="L179">
        <v>2036</v>
      </c>
      <c r="M179" s="2" t="s">
        <v>15</v>
      </c>
    </row>
    <row r="180" spans="1:13" x14ac:dyDescent="0.25">
      <c r="A180" s="2">
        <v>1984</v>
      </c>
      <c r="B180" t="s">
        <v>195</v>
      </c>
      <c r="C180" t="s">
        <v>189</v>
      </c>
      <c r="D180" t="e" vm="713">
        <v>#VALUE!</v>
      </c>
      <c r="E180" s="2" cm="1" vm="714">
        <f t="array" aca="1" ref="E180" ca="1">_FV(D180,"Population")</f>
        <v>414</v>
      </c>
      <c r="F180" s="4" cm="1">
        <f t="array" aca="1" ref="F180" ca="1">_xlfn.IFS(E180&lt;2500,E180/10,AND(E180&gt;=2500,E180&lt;25000),E180/25,AND(E180&gt;=25000,E180&lt;100000),E180/50,AND(E180&gt;=100000,E180&lt;1000000),E180/100,AND(E180&gt;=1000000,E180&lt;2000000),E180/150,AND(E180&gt;=2000000,E180&lt;3000000),E180/200,E180&gt;=3000000,E180/250)</f>
        <v>41.4</v>
      </c>
      <c r="G180" s="2" t="str" cm="1">
        <f t="array" aca="1" ref="G180" ca="1">IFERROR(_xlfn.IFS(AND(E180&lt;80000,E180&gt;15000),"MEDIUM",E180&gt;80000,"LARGE",E180&lt;15000,"SMALL"),"SMALL")</f>
        <v>SMALL</v>
      </c>
      <c r="H180" s="2" t="str">
        <f t="shared" ca="1" si="2"/>
        <v>false</v>
      </c>
      <c r="I180" s="10" cm="1" vm="715">
        <f t="array" aca="1" ref="I180" ca="1">_FV(D180,"Latitude")</f>
        <v>39.511699999999998</v>
      </c>
      <c r="J180" s="10" cm="1" vm="716">
        <f t="array" aca="1" ref="J180" ca="1">_FV(D180,"Longitude")</f>
        <v>-115.962</v>
      </c>
      <c r="K180">
        <v>1944</v>
      </c>
      <c r="L180">
        <v>1814</v>
      </c>
      <c r="M180" s="2" t="s">
        <v>15</v>
      </c>
    </row>
    <row r="181" spans="1:13" x14ac:dyDescent="0.25">
      <c r="A181" s="2">
        <v>1985</v>
      </c>
      <c r="B181" t="s">
        <v>196</v>
      </c>
      <c r="C181" t="s">
        <v>189</v>
      </c>
      <c r="D181" t="e" vm="717">
        <v>#VALUE!</v>
      </c>
      <c r="E181" s="2" cm="1" vm="718">
        <f t="array" aca="1" ref="E181" ca="1">_FV(D181,"Population")</f>
        <v>9327</v>
      </c>
      <c r="F181" s="4" cm="1">
        <f t="array" aca="1" ref="F181" ca="1">_xlfn.IFS(E181&lt;2500,E181/10,AND(E181&gt;=2500,E181&lt;25000),E181/25,AND(E181&gt;=25000,E181&lt;100000),E181/50,AND(E181&gt;=100000,E181&lt;1000000),E181/100,AND(E181&gt;=1000000,E181&lt;2000000),E181/150,AND(E181&gt;=2000000,E181&lt;3000000),E181/200,E181&gt;=3000000,E181/250)</f>
        <v>373.08</v>
      </c>
      <c r="G181" s="2" t="str" cm="1">
        <f t="array" aca="1" ref="G181" ca="1">IFERROR(_xlfn.IFS(AND(E181&lt;80000,E181&gt;15000),"MEDIUM",E181&gt;80000,"LARGE",E181&lt;15000,"SMALL"),"SMALL")</f>
        <v>SMALL</v>
      </c>
      <c r="H181" s="2" t="str">
        <f t="shared" ca="1" si="2"/>
        <v>false</v>
      </c>
      <c r="I181" s="10" cm="1" vm="719">
        <f t="array" aca="1" ref="I181" ca="1">_FV(D181,"Latitude")</f>
        <v>39.472799999999999</v>
      </c>
      <c r="J181" s="10" cm="1" vm="720">
        <f t="array" aca="1" ref="J181" ca="1">_FV(D181,"Longitude")</f>
        <v>-118.779</v>
      </c>
      <c r="K181">
        <v>1952</v>
      </c>
      <c r="L181">
        <v>1237</v>
      </c>
      <c r="M181" s="2" t="s">
        <v>15</v>
      </c>
    </row>
    <row r="182" spans="1:13" x14ac:dyDescent="0.25">
      <c r="A182" s="2">
        <v>1986</v>
      </c>
      <c r="B182" t="s">
        <v>197</v>
      </c>
      <c r="C182" t="s">
        <v>189</v>
      </c>
      <c r="D182" t="e" vm="721">
        <v>#VALUE!</v>
      </c>
      <c r="E182" s="2" cm="1" vm="722">
        <f t="array" aca="1" ref="E182" ca="1">_FV(D182,"Population")</f>
        <v>22895</v>
      </c>
      <c r="F182" s="4" cm="1">
        <f t="array" aca="1" ref="F182" ca="1">_xlfn.IFS(E182&lt;2500,E182/10,AND(E182&gt;=2500,E182&lt;25000),E182/25,AND(E182&gt;=25000,E182&lt;100000),E182/50,AND(E182&gt;=100000,E182&lt;1000000),E182/100,AND(E182&gt;=1000000,E182&lt;2000000),E182/150,AND(E182&gt;=2000000,E182&lt;3000000),E182/200,E182&gt;=3000000,E182/250)</f>
        <v>915.8</v>
      </c>
      <c r="G182" s="2" t="str" cm="1">
        <f t="array" aca="1" ref="G182" ca="1">IFERROR(_xlfn.IFS(AND(E182&lt;80000,E182&gt;15000),"MEDIUM",E182&gt;80000,"LARGE",E182&lt;15000,"SMALL"),"SMALL")</f>
        <v>MEDIUM</v>
      </c>
      <c r="H182" s="2" t="str">
        <f t="shared" ca="1" si="2"/>
        <v>false</v>
      </c>
      <c r="I182" s="10" cm="1" vm="723">
        <f t="array" aca="1" ref="I182" ca="1">_FV(D182,"Latitude")</f>
        <v>39.6048055555556</v>
      </c>
      <c r="J182" s="10" cm="1" vm="724">
        <f t="array" aca="1" ref="J182" ca="1">_FV(D182,"Longitude")</f>
        <v>-119.240472222222</v>
      </c>
      <c r="K182">
        <v>1925</v>
      </c>
      <c r="L182">
        <v>1142</v>
      </c>
      <c r="M182" s="2" t="s">
        <v>15</v>
      </c>
    </row>
    <row r="183" spans="1:13" x14ac:dyDescent="0.25">
      <c r="A183" s="2">
        <v>2000</v>
      </c>
      <c r="B183" t="s">
        <v>198</v>
      </c>
      <c r="C183" t="s">
        <v>189</v>
      </c>
      <c r="D183" t="e" vm="725">
        <v>#VALUE!</v>
      </c>
      <c r="E183" s="2" cm="1" vm="726">
        <f t="array" aca="1" ref="E183" ca="1">_FV(D183,"Population")</f>
        <v>317610</v>
      </c>
      <c r="F183" s="4" cm="1">
        <f t="array" aca="1" ref="F183" ca="1">_xlfn.IFS(E183&lt;2500,E183/10,AND(E183&gt;=2500,E183&lt;25000),E183/25,AND(E183&gt;=25000,E183&lt;100000),E183/50,AND(E183&gt;=100000,E183&lt;1000000),E183/100,AND(E183&gt;=1000000,E183&lt;2000000),E183/150,AND(E183&gt;=2000000,E183&lt;3000000),E183/200,E183&gt;=3000000,E183/250)</f>
        <v>3176.1</v>
      </c>
      <c r="G183" s="2" t="str" cm="1">
        <f t="array" aca="1" ref="G183" ca="1">IFERROR(_xlfn.IFS(AND(E183&lt;80000,E183&gt;15000),"MEDIUM",E183&gt;80000,"LARGE",E183&lt;15000,"SMALL"),"SMALL")</f>
        <v>LARGE</v>
      </c>
      <c r="H183" s="2" t="str">
        <f t="shared" ca="1" si="2"/>
        <v>true</v>
      </c>
      <c r="I183" s="10" cm="1" vm="727">
        <f t="array" aca="1" ref="I183" ca="1">_FV(D183,"Latitude")</f>
        <v>36.031666666667</v>
      </c>
      <c r="J183" s="10" cm="1" vm="728">
        <f t="array" aca="1" ref="J183" ca="1">_FV(D183,"Longitude")</f>
        <v>-114.98138888889</v>
      </c>
      <c r="K183">
        <v>2656</v>
      </c>
      <c r="L183">
        <v>2015</v>
      </c>
      <c r="M183" s="2" t="s">
        <v>15</v>
      </c>
    </row>
    <row r="184" spans="1:13" x14ac:dyDescent="0.25">
      <c r="A184" s="2">
        <v>2012</v>
      </c>
      <c r="B184" t="s">
        <v>199</v>
      </c>
      <c r="C184" t="s">
        <v>189</v>
      </c>
      <c r="D184" t="e" vm="729">
        <v>#VALUE!</v>
      </c>
      <c r="E184" s="2" cm="1" vm="730">
        <f t="array" aca="1" ref="E184" ca="1">_FV(D184,"Population")</f>
        <v>211</v>
      </c>
      <c r="F184" s="4" cm="1">
        <f t="array" aca="1" ref="F184" ca="1">_xlfn.IFS(E184&lt;2500,E184/10,AND(E184&gt;=2500,E184&lt;25000),E184/25,AND(E184&gt;=25000,E184&lt;100000),E184/50,AND(E184&gt;=100000,E184&lt;1000000),E184/100,AND(E184&gt;=1000000,E184&lt;2000000),E184/150,AND(E184&gt;=2000000,E184&lt;3000000),E184/200,E184&gt;=3000000,E184/250)</f>
        <v>21.1</v>
      </c>
      <c r="G184" s="2" t="str" cm="1">
        <f t="array" aca="1" ref="G184" ca="1">IFERROR(_xlfn.IFS(AND(E184&lt;80000,E184&gt;15000),"MEDIUM",E184&gt;80000,"LARGE",E184&lt;15000,"SMALL"),"SMALL")</f>
        <v>SMALL</v>
      </c>
      <c r="H184" s="2" t="str">
        <f t="shared" ca="1" si="2"/>
        <v>false</v>
      </c>
      <c r="I184" s="10" cm="1" vm="731">
        <f t="array" aca="1" ref="I184" ca="1">_FV(D184,"Latitude")</f>
        <v>38.856111111110998</v>
      </c>
      <c r="J184" s="10" cm="1" vm="732">
        <f t="array" aca="1" ref="J184" ca="1">_FV(D184,"Longitude")</f>
        <v>-115.00611111111</v>
      </c>
      <c r="K184">
        <v>2078</v>
      </c>
      <c r="L184">
        <v>2009</v>
      </c>
      <c r="M184" s="2" t="s">
        <v>15</v>
      </c>
    </row>
    <row r="185" spans="1:13" x14ac:dyDescent="0.25">
      <c r="A185" s="2">
        <v>2023</v>
      </c>
      <c r="B185" t="s">
        <v>200</v>
      </c>
      <c r="C185" t="s">
        <v>189</v>
      </c>
      <c r="D185" t="e" vm="733">
        <v>#VALUE!</v>
      </c>
      <c r="E185" s="2" cm="1" vm="734">
        <f t="array" aca="1" ref="E185" ca="1">_FV(D185,"Population")</f>
        <v>262527</v>
      </c>
      <c r="F185" s="4" cm="1">
        <f t="array" aca="1" ref="F185" ca="1">_xlfn.IFS(E185&lt;2500,E185/10,AND(E185&gt;=2500,E185&lt;25000),E185/25,AND(E185&gt;=25000,E185&lt;100000),E185/50,AND(E185&gt;=100000,E185&lt;1000000),E185/100,AND(E185&gt;=1000000,E185&lt;2000000),E185/150,AND(E185&gt;=2000000,E185&lt;3000000),E185/200,E185&gt;=3000000,E185/250)</f>
        <v>2625.27</v>
      </c>
      <c r="G185" s="2" t="str" cm="1">
        <f t="array" aca="1" ref="G185" ca="1">IFERROR(_xlfn.IFS(AND(E185&lt;80000,E185&gt;15000),"MEDIUM",E185&gt;80000,"LARGE",E185&lt;15000,"SMALL"),"SMALL")</f>
        <v>LARGE</v>
      </c>
      <c r="H185" s="2" t="str">
        <f t="shared" ca="1" si="2"/>
        <v>true</v>
      </c>
      <c r="I185" s="10" cm="1" vm="735">
        <f t="array" aca="1" ref="I185" ca="1">_FV(D185,"Latitude")</f>
        <v>36.200583333333299</v>
      </c>
      <c r="J185" s="10" cm="1" vm="736">
        <f t="array" aca="1" ref="J185" ca="1">_FV(D185,"Longitude")</f>
        <v>-115.12158333333301</v>
      </c>
      <c r="K185">
        <v>2622</v>
      </c>
      <c r="L185">
        <v>1986</v>
      </c>
      <c r="M185" s="2" t="s">
        <v>15</v>
      </c>
    </row>
    <row r="186" spans="1:13" x14ac:dyDescent="0.25">
      <c r="A186" s="2">
        <v>2028</v>
      </c>
      <c r="B186" t="s">
        <v>201</v>
      </c>
      <c r="C186" t="s">
        <v>189</v>
      </c>
      <c r="D186" t="e" vm="737">
        <v>#VALUE!</v>
      </c>
      <c r="E186" s="2" cm="1" vm="738">
        <f t="array" aca="1" ref="E186" ca="1">_FV(D186,"Population")</f>
        <v>44738</v>
      </c>
      <c r="F186" s="4" cm="1">
        <f t="array" aca="1" ref="F186" ca="1">_xlfn.IFS(E186&lt;2500,E186/10,AND(E186&gt;=2500,E186&lt;25000),E186/25,AND(E186&gt;=25000,E186&lt;100000),E186/50,AND(E186&gt;=100000,E186&lt;1000000),E186/100,AND(E186&gt;=1000000,E186&lt;2000000),E186/150,AND(E186&gt;=2000000,E186&lt;3000000),E186/200,E186&gt;=3000000,E186/250)</f>
        <v>894.76</v>
      </c>
      <c r="G186" s="2" t="str" cm="1">
        <f t="array" aca="1" ref="G186" ca="1">IFERROR(_xlfn.IFS(AND(E186&lt;80000,E186&gt;15000),"MEDIUM",E186&gt;80000,"LARGE",E186&lt;15000,"SMALL"),"SMALL")</f>
        <v>MEDIUM</v>
      </c>
      <c r="H186" s="2" t="str">
        <f t="shared" ca="1" si="2"/>
        <v>false</v>
      </c>
      <c r="I186" s="10" cm="1" vm="739">
        <f t="array" aca="1" ref="I186" ca="1">_FV(D186,"Latitude")</f>
        <v>36.208611111110997</v>
      </c>
      <c r="J186" s="10" cm="1" vm="740">
        <f t="array" aca="1" ref="J186" ca="1">_FV(D186,"Longitude")</f>
        <v>-116.01194444444</v>
      </c>
      <c r="K186">
        <v>2620</v>
      </c>
      <c r="L186">
        <v>1803</v>
      </c>
      <c r="M186" s="2" t="s">
        <v>15</v>
      </c>
    </row>
    <row r="187" spans="1:13" x14ac:dyDescent="0.25">
      <c r="A187" s="2">
        <v>2029</v>
      </c>
      <c r="B187" t="s">
        <v>202</v>
      </c>
      <c r="C187" t="s">
        <v>189</v>
      </c>
      <c r="D187" t="e" vm="741">
        <v>#VALUE!</v>
      </c>
      <c r="E187" s="2" cm="1" vm="742">
        <f t="array" aca="1" ref="E187" ca="1">_FV(D187,"Population")</f>
        <v>191238</v>
      </c>
      <c r="F187" s="4" cm="1">
        <f t="array" aca="1" ref="F187" ca="1">_xlfn.IFS(E187&lt;2500,E187/10,AND(E187&gt;=2500,E187&lt;25000),E187/25,AND(E187&gt;=25000,E187&lt;100000),E187/50,AND(E187&gt;=100000,E187&lt;1000000),E187/100,AND(E187&gt;=1000000,E187&lt;2000000),E187/150,AND(E187&gt;=2000000,E187&lt;3000000),E187/200,E187&gt;=3000000,E187/250)</f>
        <v>1912.38</v>
      </c>
      <c r="G187" s="2" t="str" cm="1">
        <f t="array" aca="1" ref="G187" ca="1">IFERROR(_xlfn.IFS(AND(E187&lt;80000,E187&gt;15000),"MEDIUM",E187&gt;80000,"LARGE",E187&lt;15000,"SMALL"),"SMALL")</f>
        <v>LARGE</v>
      </c>
      <c r="H187" s="2" t="str">
        <f t="shared" ca="1" si="2"/>
        <v>false</v>
      </c>
      <c r="I187" s="10" cm="1" vm="743">
        <f t="array" aca="1" ref="I187" ca="1">_FV(D187,"Latitude")</f>
        <v>36.081944444443998</v>
      </c>
      <c r="J187" s="10" cm="1" vm="744">
        <f t="array" aca="1" ref="J187" ca="1">_FV(D187,"Longitude")</f>
        <v>-115.12472222222</v>
      </c>
      <c r="K187">
        <v>2646</v>
      </c>
      <c r="L187">
        <v>1985</v>
      </c>
      <c r="M187" s="2" t="s">
        <v>15</v>
      </c>
    </row>
    <row r="188" spans="1:13" x14ac:dyDescent="0.25">
      <c r="A188" s="2">
        <v>2034</v>
      </c>
      <c r="B188" t="s">
        <v>203</v>
      </c>
      <c r="C188" t="s">
        <v>189</v>
      </c>
      <c r="D188" t="e" vm="745">
        <v>#VALUE!</v>
      </c>
      <c r="E188" s="2" cm="1" vm="746">
        <f t="array" aca="1" ref="E188" ca="1">_FV(D188,"Population")</f>
        <v>264165</v>
      </c>
      <c r="F188" s="4" cm="1">
        <f t="array" aca="1" ref="F188" ca="1">_xlfn.IFS(E188&lt;2500,E188/10,AND(E188&gt;=2500,E188&lt;25000),E188/25,AND(E188&gt;=25000,E188&lt;100000),E188/50,AND(E188&gt;=100000,E188&lt;1000000),E188/100,AND(E188&gt;=1000000,E188&lt;2000000),E188/150,AND(E188&gt;=2000000,E188&lt;3000000),E188/200,E188&gt;=3000000,E188/250)</f>
        <v>2641.65</v>
      </c>
      <c r="G188" s="2" t="str" cm="1">
        <f t="array" aca="1" ref="G188" ca="1">IFERROR(_xlfn.IFS(AND(E188&lt;80000,E188&gt;15000),"MEDIUM",E188&gt;80000,"LARGE",E188&lt;15000,"SMALL"),"SMALL")</f>
        <v>LARGE</v>
      </c>
      <c r="H188" s="2" t="str">
        <f t="shared" ca="1" si="2"/>
        <v>true</v>
      </c>
      <c r="I188" s="10" cm="1" vm="747">
        <f t="array" aca="1" ref="I188" ca="1">_FV(D188,"Latitude")</f>
        <v>39.526111111111099</v>
      </c>
      <c r="J188" s="10" cm="1" vm="748">
        <f t="array" aca="1" ref="J188" ca="1">_FV(D188,"Longitude")</f>
        <v>-119.812666666667</v>
      </c>
      <c r="K188">
        <v>1941</v>
      </c>
      <c r="L188">
        <v>1025</v>
      </c>
      <c r="M188" s="2" t="s">
        <v>15</v>
      </c>
    </row>
    <row r="189" spans="1:13" x14ac:dyDescent="0.25">
      <c r="A189" s="2">
        <v>2045</v>
      </c>
      <c r="B189" t="s">
        <v>204</v>
      </c>
      <c r="C189" t="s">
        <v>189</v>
      </c>
      <c r="D189" t="e" vm="749">
        <v>#VALUE!</v>
      </c>
      <c r="E189" s="2" cm="1" vm="750">
        <f t="array" aca="1" ref="E189" ca="1">_FV(D189,"Population")</f>
        <v>108445</v>
      </c>
      <c r="F189" s="4" cm="1">
        <f t="array" aca="1" ref="F189" ca="1">_xlfn.IFS(E189&lt;2500,E189/10,AND(E189&gt;=2500,E189&lt;25000),E189/25,AND(E189&gt;=25000,E189&lt;100000),E189/50,AND(E189&gt;=100000,E189&lt;1000000),E189/100,AND(E189&gt;=1000000,E189&lt;2000000),E189/150,AND(E189&gt;=2000000,E189&lt;3000000),E189/200,E189&gt;=3000000,E189/250)</f>
        <v>1084.45</v>
      </c>
      <c r="G189" s="2" t="str" cm="1">
        <f t="array" aca="1" ref="G189" ca="1">IFERROR(_xlfn.IFS(AND(E189&lt;80000,E189&gt;15000),"MEDIUM",E189&gt;80000,"LARGE",E189&lt;15000,"SMALL"),"SMALL")</f>
        <v>LARGE</v>
      </c>
      <c r="H189" s="2" t="str">
        <f t="shared" ca="1" si="2"/>
        <v>false</v>
      </c>
      <c r="I189" s="10" cm="1" vm="751">
        <f t="array" aca="1" ref="I189" ca="1">_FV(D189,"Latitude")</f>
        <v>39.540472222222199</v>
      </c>
      <c r="J189" s="10" cm="1" vm="752">
        <f t="array" aca="1" ref="J189" ca="1">_FV(D189,"Longitude")</f>
        <v>-119.748722222222</v>
      </c>
      <c r="K189">
        <v>1938</v>
      </c>
      <c r="L189">
        <v>1038</v>
      </c>
      <c r="M189" s="2" t="s">
        <v>15</v>
      </c>
    </row>
    <row r="190" spans="1:13" x14ac:dyDescent="0.25">
      <c r="A190" s="2">
        <v>2047</v>
      </c>
      <c r="B190" t="s">
        <v>205</v>
      </c>
      <c r="C190" t="s">
        <v>189</v>
      </c>
      <c r="D190" t="e" vm="753">
        <v>#VALUE!</v>
      </c>
      <c r="E190" s="2" cm="1" vm="754">
        <f t="array" aca="1" ref="E190" ca="1">_FV(D190,"Population")</f>
        <v>215597</v>
      </c>
      <c r="F190" s="4" cm="1">
        <f t="array" aca="1" ref="F190" ca="1">_xlfn.IFS(E190&lt;2500,E190/10,AND(E190&gt;=2500,E190&lt;25000),E190/25,AND(E190&gt;=25000,E190&lt;100000),E190/50,AND(E190&gt;=100000,E190&lt;1000000),E190/100,AND(E190&gt;=1000000,E190&lt;2000000),E190/150,AND(E190&gt;=2000000,E190&lt;3000000),E190/200,E190&gt;=3000000,E190/250)</f>
        <v>2155.9699999999998</v>
      </c>
      <c r="G190" s="2" t="str" cm="1">
        <f t="array" aca="1" ref="G190" ca="1">IFERROR(_xlfn.IFS(AND(E190&lt;80000,E190&gt;15000),"MEDIUM",E190&gt;80000,"LARGE",E190&lt;15000,"SMALL"),"SMALL")</f>
        <v>LARGE</v>
      </c>
      <c r="H190" s="2" t="str">
        <f t="shared" ca="1" si="2"/>
        <v>true</v>
      </c>
      <c r="I190" s="10" cm="1" vm="755">
        <f t="array" aca="1" ref="I190" ca="1">_FV(D190,"Latitude")</f>
        <v>36.112499999999997</v>
      </c>
      <c r="J190" s="10" cm="1" vm="756">
        <f t="array" aca="1" ref="J190" ca="1">_FV(D190,"Longitude")</f>
        <v>-115.25027777778</v>
      </c>
      <c r="K190">
        <v>1972</v>
      </c>
      <c r="L190">
        <v>1115</v>
      </c>
      <c r="M190" s="2" t="s">
        <v>15</v>
      </c>
    </row>
    <row r="191" spans="1:13" x14ac:dyDescent="0.25">
      <c r="A191" s="2">
        <v>2052</v>
      </c>
      <c r="B191" t="s">
        <v>206</v>
      </c>
      <c r="C191" t="s">
        <v>189</v>
      </c>
      <c r="D191" t="e" vm="757">
        <v>#VALUE!</v>
      </c>
      <c r="E191" s="2" cm="1" vm="758">
        <f t="array" aca="1" ref="E191" ca="1">_FV(D191,"Population")</f>
        <v>2179</v>
      </c>
      <c r="F191" s="4" cm="1">
        <f t="array" aca="1" ref="F191" ca="1">_xlfn.IFS(E191&lt;2500,E191/10,AND(E191&gt;=2500,E191&lt;25000),E191/25,AND(E191&gt;=25000,E191&lt;100000),E191/50,AND(E191&gt;=100000,E191&lt;1000000),E191/100,AND(E191&gt;=1000000,E191&lt;2000000),E191/150,AND(E191&gt;=2000000,E191&lt;3000000),E191/200,E191&gt;=3000000,E191/250)</f>
        <v>217.9</v>
      </c>
      <c r="G191" s="2" t="str" cm="1">
        <f t="array" aca="1" ref="G191" ca="1">IFERROR(_xlfn.IFS(AND(E191&lt;80000,E191&gt;15000),"MEDIUM",E191&gt;80000,"LARGE",E191&lt;15000,"SMALL"),"SMALL")</f>
        <v>SMALL</v>
      </c>
      <c r="H191" s="2" t="str">
        <f t="shared" ca="1" si="2"/>
        <v>false</v>
      </c>
      <c r="I191" s="10" cm="1" vm="759">
        <f t="array" aca="1" ref="I191" ca="1">_FV(D191,"Latitude")</f>
        <v>38.067222222222</v>
      </c>
      <c r="J191" s="10" cm="1" vm="760">
        <f t="array" aca="1" ref="J191" ca="1">_FV(D191,"Longitude")</f>
        <v>-117.23</v>
      </c>
      <c r="K191">
        <v>2111</v>
      </c>
      <c r="L191">
        <v>1080</v>
      </c>
      <c r="M191" s="2" t="s">
        <v>15</v>
      </c>
    </row>
    <row r="192" spans="1:13" x14ac:dyDescent="0.25">
      <c r="A192" s="2">
        <v>2064</v>
      </c>
      <c r="B192" t="s">
        <v>207</v>
      </c>
      <c r="C192" t="s">
        <v>189</v>
      </c>
      <c r="D192" t="e" vm="761">
        <v>#VALUE!</v>
      </c>
      <c r="E192" s="2" cm="1" vm="762">
        <f t="array" aca="1" ref="E192" ca="1">_FV(D192,"Population")</f>
        <v>8431</v>
      </c>
      <c r="F192" s="4" cm="1">
        <f t="array" aca="1" ref="F192" ca="1">_xlfn.IFS(E192&lt;2500,E192/10,AND(E192&gt;=2500,E192&lt;25000),E192/25,AND(E192&gt;=25000,E192&lt;100000),E192/50,AND(E192&gt;=100000,E192&lt;1000000),E192/100,AND(E192&gt;=1000000,E192&lt;2000000),E192/150,AND(E192&gt;=2000000,E192&lt;3000000),E192/200,E192&gt;=3000000,E192/250)</f>
        <v>337.24</v>
      </c>
      <c r="G192" s="2" t="str" cm="1">
        <f t="array" aca="1" ref="G192" ca="1">IFERROR(_xlfn.IFS(AND(E192&lt;80000,E192&gt;15000),"MEDIUM",E192&gt;80000,"LARGE",E192&lt;15000,"SMALL"),"SMALL")</f>
        <v>SMALL</v>
      </c>
      <c r="H192" s="2" t="str">
        <f t="shared" ca="1" si="2"/>
        <v>false</v>
      </c>
      <c r="I192" s="10" cm="1" vm="763">
        <f t="array" aca="1" ref="I192" ca="1">_FV(D192,"Latitude")</f>
        <v>40.968333333333</v>
      </c>
      <c r="J192" s="10" cm="1" vm="764">
        <f t="array" aca="1" ref="J192" ca="1">_FV(D192,"Longitude")</f>
        <v>-117.72666666667</v>
      </c>
      <c r="K192">
        <v>2052</v>
      </c>
      <c r="L192">
        <v>1158</v>
      </c>
      <c r="M192" s="2" t="s">
        <v>15</v>
      </c>
    </row>
    <row r="193" spans="1:13" x14ac:dyDescent="0.25">
      <c r="A193" s="2">
        <v>2065</v>
      </c>
      <c r="B193" t="s">
        <v>208</v>
      </c>
      <c r="C193" t="s">
        <v>189</v>
      </c>
      <c r="D193" t="e" vm="765">
        <v>#VALUE!</v>
      </c>
      <c r="E193" s="2" cm="1" vm="766">
        <f t="array" aca="1" ref="E193" ca="1">_FV(D193,"Population")</f>
        <v>3121</v>
      </c>
      <c r="F193" s="4" cm="1">
        <f t="array" aca="1" ref="F193" ca="1">_xlfn.IFS(E193&lt;2500,E193/10,AND(E193&gt;=2500,E193&lt;25000),E193/25,AND(E193&gt;=25000,E193&lt;100000),E193/50,AND(E193&gt;=100000,E193&lt;1000000),E193/100,AND(E193&gt;=1000000,E193&lt;2000000),E193/150,AND(E193&gt;=2000000,E193&lt;3000000),E193/200,E193&gt;=3000000,E193/250)</f>
        <v>124.84</v>
      </c>
      <c r="G193" s="2" t="str" cm="1">
        <f t="array" aca="1" ref="G193" ca="1">IFERROR(_xlfn.IFS(AND(E193&lt;80000,E193&gt;15000),"MEDIUM",E193&gt;80000,"LARGE",E193&lt;15000,"SMALL"),"SMALL")</f>
        <v>SMALL</v>
      </c>
      <c r="H193" s="2" t="str">
        <f t="shared" ref="H193:H248" ca="1" si="3">IFERROR(IF(E193&gt;200000,"true","false"),"false")</f>
        <v>false</v>
      </c>
      <c r="I193" s="10" cm="1" vm="767">
        <f t="array" aca="1" ref="I193" ca="1">_FV(D193,"Latitude")</f>
        <v>38.985277777778002</v>
      </c>
      <c r="J193" s="10" cm="1" vm="768">
        <f t="array" aca="1" ref="J193" ca="1">_FV(D193,"Longitude")</f>
        <v>-119.16527777778001</v>
      </c>
      <c r="K193">
        <v>2052</v>
      </c>
      <c r="L193">
        <v>1158</v>
      </c>
      <c r="M193" s="2" t="s">
        <v>15</v>
      </c>
    </row>
    <row r="194" spans="1:13" x14ac:dyDescent="0.25">
      <c r="A194" s="2">
        <v>2087</v>
      </c>
      <c r="B194" t="s">
        <v>209</v>
      </c>
      <c r="C194" t="s">
        <v>210</v>
      </c>
      <c r="D194" t="e" vm="769">
        <v>#VALUE!</v>
      </c>
      <c r="E194" s="2" cm="1" vm="770">
        <f t="array" aca="1" ref="E194" ca="1">_FV(D194,"Population")</f>
        <v>87256</v>
      </c>
      <c r="F194" s="4" cm="1">
        <f t="array" aca="1" ref="F194" ca="1">_xlfn.IFS(E194&lt;2500,E194/10,AND(E194&gt;=2500,E194&lt;25000),E194/25,AND(E194&gt;=25000,E194&lt;100000),E194/50,AND(E194&gt;=100000,E194&lt;1000000),E194/100,AND(E194&gt;=1000000,E194&lt;2000000),E194/150,AND(E194&gt;=2000000,E194&lt;3000000),E194/200,E194&gt;=3000000,E194/250)</f>
        <v>1745.12</v>
      </c>
      <c r="G194" s="2" t="str" cm="1">
        <f t="array" aca="1" ref="G194" ca="1">IFERROR(_xlfn.IFS(AND(E194&lt;80000,E194&gt;15000),"MEDIUM",E194&gt;80000,"LARGE",E194&lt;15000,"SMALL"),"SMALL")</f>
        <v>LARGE</v>
      </c>
      <c r="H194" s="2" t="str">
        <f t="shared" ca="1" si="3"/>
        <v>false</v>
      </c>
      <c r="I194" s="10" cm="1" vm="771">
        <f t="array" aca="1" ref="I194" ca="1">_FV(D194,"Latitude")</f>
        <v>47.302222222221999</v>
      </c>
      <c r="J194" s="10" cm="1" vm="772">
        <f t="array" aca="1" ref="J194" ca="1">_FV(D194,"Longitude")</f>
        <v>-122.21472222222</v>
      </c>
      <c r="K194">
        <v>348</v>
      </c>
      <c r="L194">
        <v>533</v>
      </c>
      <c r="M194" s="2" t="s">
        <v>15</v>
      </c>
    </row>
    <row r="195" spans="1:13" x14ac:dyDescent="0.25">
      <c r="A195" s="2">
        <v>2100</v>
      </c>
      <c r="B195" t="s">
        <v>211</v>
      </c>
      <c r="C195" t="s">
        <v>210</v>
      </c>
      <c r="D195" t="e" vm="773">
        <v>#VALUE!</v>
      </c>
      <c r="E195" s="2" cm="1" vm="774">
        <f t="array" aca="1" ref="E195" ca="1">_FV(D195,"Population")</f>
        <v>151854</v>
      </c>
      <c r="F195" s="4" cm="1">
        <f t="array" aca="1" ref="F195" ca="1">_xlfn.IFS(E195&lt;2500,E195/10,AND(E195&gt;=2500,E195&lt;25000),E195/25,AND(E195&gt;=25000,E195&lt;100000),E195/50,AND(E195&gt;=100000,E195&lt;1000000),E195/100,AND(E195&gt;=1000000,E195&lt;2000000),E195/150,AND(E195&gt;=2000000,E195&lt;3000000),E195/200,E195&gt;=3000000,E195/250)</f>
        <v>1518.54</v>
      </c>
      <c r="G195" s="2" t="str" cm="1">
        <f t="array" aca="1" ref="G195" ca="1">IFERROR(_xlfn.IFS(AND(E195&lt;80000,E195&gt;15000),"MEDIUM",E195&gt;80000,"LARGE",E195&lt;15000,"SMALL"),"SMALL")</f>
        <v>LARGE</v>
      </c>
      <c r="H195" s="2" t="str">
        <f t="shared" ca="1" si="3"/>
        <v>false</v>
      </c>
      <c r="I195" s="10" cm="1" vm="775">
        <f t="array" aca="1" ref="I195" ca="1">_FV(D195,"Latitude")</f>
        <v>47.614444444444402</v>
      </c>
      <c r="J195" s="10" cm="1" vm="776">
        <f t="array" aca="1" ref="J195" ca="1">_FV(D195,"Longitude")</f>
        <v>-122.1925</v>
      </c>
      <c r="K195">
        <v>284</v>
      </c>
      <c r="L195">
        <v>538</v>
      </c>
      <c r="M195" s="2" t="s">
        <v>15</v>
      </c>
    </row>
    <row r="196" spans="1:13" x14ac:dyDescent="0.25">
      <c r="A196" s="2">
        <v>2101</v>
      </c>
      <c r="B196" t="s">
        <v>212</v>
      </c>
      <c r="C196" t="s">
        <v>210</v>
      </c>
      <c r="D196" t="e" vm="777">
        <v>#VALUE!</v>
      </c>
      <c r="E196" s="2" cm="1" vm="778">
        <f t="array" aca="1" ref="E196" ca="1">_FV(D196,"Population")</f>
        <v>91482</v>
      </c>
      <c r="F196" s="4" cm="1">
        <f t="array" aca="1" ref="F196" ca="1">_xlfn.IFS(E196&lt;2500,E196/10,AND(E196&gt;=2500,E196&lt;25000),E196/25,AND(E196&gt;=25000,E196&lt;100000),E196/50,AND(E196&gt;=100000,E196&lt;1000000),E196/100,AND(E196&gt;=1000000,E196&lt;2000000),E196/150,AND(E196&gt;=2000000,E196&lt;3000000),E196/200,E196&gt;=3000000,E196/250)</f>
        <v>1829.64</v>
      </c>
      <c r="G196" s="2" t="str" cm="1">
        <f t="array" aca="1" ref="G196" ca="1">IFERROR(_xlfn.IFS(AND(E196&lt;80000,E196&gt;15000),"MEDIUM",E196&gt;80000,"LARGE",E196&lt;15000,"SMALL"),"SMALL")</f>
        <v>LARGE</v>
      </c>
      <c r="H196" s="2" t="str">
        <f t="shared" ca="1" si="3"/>
        <v>false</v>
      </c>
      <c r="I196" s="10" cm="1" vm="779">
        <f t="array" aca="1" ref="I196" ca="1">_FV(D196,"Latitude")</f>
        <v>48.754388888888897</v>
      </c>
      <c r="J196" s="10" cm="1" vm="780">
        <f t="array" aca="1" ref="J196" ca="1">_FV(D196,"Longitude")</f>
        <v>-122.478833333333</v>
      </c>
      <c r="K196">
        <v>51</v>
      </c>
      <c r="L196">
        <v>479</v>
      </c>
      <c r="M196" s="2" t="s">
        <v>15</v>
      </c>
    </row>
    <row r="197" spans="1:13" x14ac:dyDescent="0.25">
      <c r="A197" s="2">
        <v>2140</v>
      </c>
      <c r="B197" t="s">
        <v>213</v>
      </c>
      <c r="C197" t="s">
        <v>210</v>
      </c>
      <c r="D197" t="e" vm="781">
        <v>#VALUE!</v>
      </c>
      <c r="E197" s="2" cm="1" vm="782">
        <f t="array" aca="1" ref="E197" ca="1">_FV(D197,"Population")</f>
        <v>2446</v>
      </c>
      <c r="F197" s="4" cm="1">
        <f t="array" aca="1" ref="F197" ca="1">_xlfn.IFS(E197&lt;2500,E197/10,AND(E197&gt;=2500,E197&lt;25000),E197/25,AND(E197&gt;=25000,E197&lt;100000),E197/50,AND(E197&gt;=100000,E197&lt;1000000),E197/100,AND(E197&gt;=1000000,E197&lt;2000000),E197/150,AND(E197&gt;=2000000,E197&lt;3000000),E197/200,E197&gt;=3000000,E197/250)</f>
        <v>244.6</v>
      </c>
      <c r="G197" s="2" t="str" cm="1">
        <f t="array" aca="1" ref="G197" ca="1">IFERROR(_xlfn.IFS(AND(E197&lt;80000,E197&gt;15000),"MEDIUM",E197&gt;80000,"LARGE",E197&lt;15000,"SMALL"),"SMALL")</f>
        <v>SMALL</v>
      </c>
      <c r="H197" s="2" t="str">
        <f t="shared" ca="1" si="3"/>
        <v>false</v>
      </c>
      <c r="I197" s="10" cm="1" vm="783">
        <f t="array" aca="1" ref="I197" ca="1">_FV(D197,"Latitude")</f>
        <v>46.273888888888997</v>
      </c>
      <c r="J197" s="10" cm="1" vm="784">
        <f t="array" aca="1" ref="J197" ca="1">_FV(D197,"Longitude")</f>
        <v>-122.905</v>
      </c>
      <c r="K197">
        <v>559</v>
      </c>
      <c r="L197">
        <v>392</v>
      </c>
      <c r="M197" s="2" t="s">
        <v>15</v>
      </c>
    </row>
    <row r="198" spans="1:13" x14ac:dyDescent="0.25">
      <c r="A198" s="2">
        <v>2168</v>
      </c>
      <c r="B198" t="s">
        <v>214</v>
      </c>
      <c r="C198" t="s">
        <v>210</v>
      </c>
      <c r="D198" t="e" vm="785">
        <v>#VALUE!</v>
      </c>
      <c r="E198" s="2" cm="1" vm="786">
        <f t="array" aca="1" ref="E198" ca="1">_FV(D198,"Population")</f>
        <v>4917</v>
      </c>
      <c r="F198" s="4" cm="1">
        <f t="array" aca="1" ref="F198" ca="1">_xlfn.IFS(E198&lt;2500,E198/10,AND(E198&gt;=2500,E198&lt;25000),E198/25,AND(E198&gt;=25000,E198&lt;100000),E198/50,AND(E198&gt;=100000,E198&lt;1000000),E198/100,AND(E198&gt;=1000000,E198&lt;2000000),E198/150,AND(E198&gt;=2000000,E198&lt;3000000),E198/200,E198&gt;=3000000,E198/250)</f>
        <v>196.68</v>
      </c>
      <c r="G198" s="2" t="str" cm="1">
        <f t="array" aca="1" ref="G198" ca="1">IFERROR(_xlfn.IFS(AND(E198&lt;80000,E198&gt;15000),"MEDIUM",E198&gt;80000,"LARGE",E198&lt;15000,"SMALL"),"SMALL")</f>
        <v>SMALL</v>
      </c>
      <c r="H198" s="2" t="str">
        <f t="shared" ca="1" si="3"/>
        <v>false</v>
      </c>
      <c r="I198" s="10" cm="1" vm="787">
        <f t="array" aca="1" ref="I198" ca="1">_FV(D198,"Latitude")</f>
        <v>48.545000000000002</v>
      </c>
      <c r="J198" s="10" cm="1" vm="788">
        <f t="array" aca="1" ref="J198" ca="1">_FV(D198,"Longitude")</f>
        <v>-117.90083333333</v>
      </c>
      <c r="K198">
        <v>94</v>
      </c>
      <c r="L198">
        <v>1417</v>
      </c>
      <c r="M198" s="2" t="s">
        <v>15</v>
      </c>
    </row>
    <row r="199" spans="1:13" x14ac:dyDescent="0.25">
      <c r="A199" s="2">
        <v>2173</v>
      </c>
      <c r="B199" t="s">
        <v>215</v>
      </c>
      <c r="C199" t="s">
        <v>210</v>
      </c>
      <c r="D199" t="e" vm="789">
        <v>#VALUE!</v>
      </c>
      <c r="E199" s="2" cm="1" vm="790">
        <f t="array" aca="1" ref="E199" ca="1">_FV(D199,"Population")</f>
        <v>447</v>
      </c>
      <c r="F199" s="4" cm="1">
        <f t="array" aca="1" ref="F199" ca="1">_xlfn.IFS(E199&lt;2500,E199/10,AND(E199&gt;=2500,E199&lt;25000),E199/25,AND(E199&gt;=25000,E199&lt;100000),E199/50,AND(E199&gt;=100000,E199&lt;1000000),E199/100,AND(E199&gt;=1000000,E199&lt;2000000),E199/150,AND(E199&gt;=2000000,E199&lt;3000000),E199/200,E199&gt;=3000000,E199/250)</f>
        <v>44.7</v>
      </c>
      <c r="G199" s="2" t="str" cm="1">
        <f t="array" aca="1" ref="G199" ca="1">IFERROR(_xlfn.IFS(AND(E199&lt;80000,E199&gt;15000),"MEDIUM",E199&gt;80000,"LARGE",E199&lt;15000,"SMALL"),"SMALL")</f>
        <v>SMALL</v>
      </c>
      <c r="H199" s="2" t="str">
        <f t="shared" ca="1" si="3"/>
        <v>false</v>
      </c>
      <c r="I199" s="10" cm="1" vm="791">
        <f t="array" aca="1" ref="I199" ca="1">_FV(D199,"Latitude")</f>
        <v>47.117800000000003</v>
      </c>
      <c r="J199" s="10" cm="1" vm="792">
        <f t="array" aca="1" ref="J199" ca="1">_FV(D199,"Longitude")</f>
        <v>-124.178</v>
      </c>
      <c r="K199">
        <v>386</v>
      </c>
      <c r="L199">
        <v>131</v>
      </c>
      <c r="M199" s="2" t="s">
        <v>15</v>
      </c>
    </row>
    <row r="200" spans="1:13" x14ac:dyDescent="0.25">
      <c r="A200" s="2"/>
      <c r="B200" t="s">
        <v>267</v>
      </c>
      <c r="C200" t="s">
        <v>210</v>
      </c>
      <c r="D200" t="e" vm="793">
        <v>#VALUE!</v>
      </c>
      <c r="E200" s="2" cm="1" vm="794">
        <f t="array" aca="1" ref="E200" ca="1">_FV(D200,"Population")</f>
        <v>42853</v>
      </c>
      <c r="F200" s="4" cm="1">
        <f t="array" aca="1" ref="F200" ca="1">_xlfn.IFS(E200&lt;2500,E200/10,AND(E200&gt;=2500,E200&lt;25000),E200/25,AND(E200&gt;=25000,E200&lt;100000),E200/50,AND(E200&gt;=100000,E200&lt;1000000),E200/100,AND(E200&gt;=1000000,E200&lt;2000000),E200/150,AND(E200&gt;=2000000,E200&lt;3000000),E200/200,E200&gt;=3000000,E200/250)</f>
        <v>857.06</v>
      </c>
      <c r="G200" s="2" t="str" cm="1">
        <f t="array" aca="1" ref="G200" ca="1">IFERROR(_xlfn.IFS(AND(E200&lt;80000,E200&gt;15000),"MEDIUM",E200&gt;80000,"LARGE",E200&lt;15000,"SMALL"),"SMALL")</f>
        <v>MEDIUM</v>
      </c>
      <c r="H200" s="2" t="str">
        <f t="shared" ref="H200" ca="1" si="4">IFERROR(IF(E200&gt;200000,"true","false"),"false")</f>
        <v>false</v>
      </c>
      <c r="I200" s="10" cm="1" vm="795">
        <f t="array" aca="1" ref="I200" ca="1">_FV(D200,"Latitude")</f>
        <v>47.806944444443999</v>
      </c>
      <c r="J200" s="10" cm="1" vm="796">
        <f t="array" aca="1" ref="J200" ca="1">_FV(D200,"Longitude")</f>
        <v>-122.34666666667</v>
      </c>
      <c r="K200">
        <v>245</v>
      </c>
      <c r="L200">
        <v>506</v>
      </c>
      <c r="M200" s="2" t="s">
        <v>15</v>
      </c>
    </row>
    <row r="201" spans="1:13" x14ac:dyDescent="0.25">
      <c r="A201" s="2">
        <v>2211</v>
      </c>
      <c r="B201" t="s">
        <v>216</v>
      </c>
      <c r="C201" t="s">
        <v>210</v>
      </c>
      <c r="D201" t="e" vm="797">
        <v>#VALUE!</v>
      </c>
      <c r="E201" s="2" cm="1" vm="798">
        <f t="array" aca="1" ref="E201" ca="1">_FV(D201,"Population")</f>
        <v>18666</v>
      </c>
      <c r="F201" s="4" cm="1">
        <f t="array" aca="1" ref="F201" ca="1">_xlfn.IFS(E201&lt;2500,E201/10,AND(E201&gt;=2500,E201&lt;25000),E201/25,AND(E201&gt;=25000,E201&lt;100000),E201/50,AND(E201&gt;=100000,E201&lt;1000000),E201/100,AND(E201&gt;=1000000,E201&lt;2000000),E201/150,AND(E201&gt;=2000000,E201&lt;3000000),E201/200,E201&gt;=3000000,E201/250)</f>
        <v>746.64</v>
      </c>
      <c r="G201" s="2" t="str" cm="1">
        <f t="array" aca="1" ref="G201" ca="1">IFERROR(_xlfn.IFS(AND(E201&lt;80000,E201&gt;15000),"MEDIUM",E201&gt;80000,"LARGE",E201&lt;15000,"SMALL"),"SMALL")</f>
        <v>MEDIUM</v>
      </c>
      <c r="H201" s="2" t="str">
        <f t="shared" ca="1" si="3"/>
        <v>false</v>
      </c>
      <c r="I201" s="10" cm="1" vm="799">
        <f t="array" aca="1" ref="I201" ca="1">_FV(D201,"Latitude")</f>
        <v>46.997064000000002</v>
      </c>
      <c r="J201" s="10" cm="1" vm="800">
        <f t="array" aca="1" ref="J201" ca="1">_FV(D201,"Longitude")</f>
        <v>-120.545119</v>
      </c>
      <c r="K201">
        <v>411</v>
      </c>
      <c r="L201">
        <v>875</v>
      </c>
      <c r="M201" s="2" t="s">
        <v>15</v>
      </c>
    </row>
    <row r="202" spans="1:13" x14ac:dyDescent="0.25">
      <c r="A202" s="2">
        <v>2220</v>
      </c>
      <c r="B202" t="s">
        <v>217</v>
      </c>
      <c r="C202" t="s">
        <v>210</v>
      </c>
      <c r="D202" t="e" vm="801">
        <v>#VALUE!</v>
      </c>
      <c r="E202" s="2" cm="1" vm="802">
        <f t="array" aca="1" ref="E202" ca="1">_FV(D202,"Population")</f>
        <v>110629</v>
      </c>
      <c r="F202" s="4" cm="1">
        <f t="array" aca="1" ref="F202" ca="1">_xlfn.IFS(E202&lt;2500,E202/10,AND(E202&gt;=2500,E202&lt;25000),E202/25,AND(E202&gt;=25000,E202&lt;100000),E202/50,AND(E202&gt;=100000,E202&lt;1000000),E202/100,AND(E202&gt;=1000000,E202&lt;2000000),E202/150,AND(E202&gt;=2000000,E202&lt;3000000),E202/200,E202&gt;=3000000,E202/250)</f>
        <v>1106.29</v>
      </c>
      <c r="G202" s="2" t="str" cm="1">
        <f t="array" aca="1" ref="G202" ca="1">IFERROR(_xlfn.IFS(AND(E202&lt;80000,E202&gt;15000),"MEDIUM",E202&gt;80000,"LARGE",E202&lt;15000,"SMALL"),"SMALL")</f>
        <v>LARGE</v>
      </c>
      <c r="H202" s="2" t="str">
        <f t="shared" ca="1" si="3"/>
        <v>false</v>
      </c>
      <c r="I202" s="10" cm="1" vm="803">
        <f t="array" aca="1" ref="I202" ca="1">_FV(D202,"Latitude")</f>
        <v>47.963333333332997</v>
      </c>
      <c r="J202" s="10" cm="1" vm="804">
        <f t="array" aca="1" ref="J202" ca="1">_FV(D202,"Longitude")</f>
        <v>-122.20055555556</v>
      </c>
      <c r="K202">
        <v>213</v>
      </c>
      <c r="L202">
        <v>536</v>
      </c>
      <c r="M202" s="2" t="s">
        <v>15</v>
      </c>
    </row>
    <row r="203" spans="1:13" x14ac:dyDescent="0.25">
      <c r="A203" s="2">
        <v>2281</v>
      </c>
      <c r="B203" t="s">
        <v>218</v>
      </c>
      <c r="C203" t="s">
        <v>210</v>
      </c>
      <c r="D203" t="e" vm="805">
        <v>#VALUE!</v>
      </c>
      <c r="E203" s="2" cm="1" vm="806">
        <f t="array" aca="1" ref="E203" ca="1">_FV(D203,"Population")</f>
        <v>83921</v>
      </c>
      <c r="F203" s="4" cm="1">
        <f t="array" aca="1" ref="F203" ca="1">_xlfn.IFS(E203&lt;2500,E203/10,AND(E203&gt;=2500,E203&lt;25000),E203/25,AND(E203&gt;=25000,E203&lt;100000),E203/50,AND(E203&gt;=100000,E203&lt;1000000),E203/100,AND(E203&gt;=1000000,E203&lt;2000000),E203/150,AND(E203&gt;=2000000,E203&lt;3000000),E203/200,E203&gt;=3000000,E203/250)</f>
        <v>1678.42</v>
      </c>
      <c r="G203" s="2" t="str" cm="1">
        <f t="array" aca="1" ref="G203" ca="1">IFERROR(_xlfn.IFS(AND(E203&lt;80000,E203&gt;15000),"MEDIUM",E203&gt;80000,"LARGE",E203&lt;15000,"SMALL"),"SMALL")</f>
        <v>LARGE</v>
      </c>
      <c r="H203" s="2" t="str">
        <f t="shared" ca="1" si="3"/>
        <v>false</v>
      </c>
      <c r="I203" s="10" cm="1" vm="807">
        <f t="array" aca="1" ref="I203" ca="1">_FV(D203,"Latitude")</f>
        <v>46.203474999999997</v>
      </c>
      <c r="J203" s="10" cm="1" vm="808">
        <f t="array" aca="1" ref="J203" ca="1">_FV(D203,"Longitude")</f>
        <v>-119.15927000000001</v>
      </c>
      <c r="K203">
        <v>573</v>
      </c>
      <c r="L203">
        <v>1159</v>
      </c>
      <c r="M203" s="2" t="s">
        <v>15</v>
      </c>
    </row>
    <row r="204" spans="1:13" x14ac:dyDescent="0.25">
      <c r="A204" s="2">
        <v>2282</v>
      </c>
      <c r="B204" t="s">
        <v>219</v>
      </c>
      <c r="C204" t="s">
        <v>210</v>
      </c>
      <c r="D204" t="e" vm="809">
        <v>#VALUE!</v>
      </c>
      <c r="E204" s="2" cm="1" vm="810">
        <f t="array" aca="1" ref="E204" ca="1">_FV(D204,"Population")</f>
        <v>136588</v>
      </c>
      <c r="F204" s="4" cm="1">
        <f t="array" aca="1" ref="F204" ca="1">_xlfn.IFS(E204&lt;2500,E204/10,AND(E204&gt;=2500,E204&lt;25000),E204/25,AND(E204&gt;=25000,E204&lt;100000),E204/50,AND(E204&gt;=100000,E204&lt;1000000),E204/100,AND(E204&gt;=1000000,E204&lt;2000000),E204/150,AND(E204&gt;=2000000,E204&lt;3000000),E204/200,E204&gt;=3000000,E204/250)</f>
        <v>1365.88</v>
      </c>
      <c r="G204" s="2" t="str" cm="1">
        <f t="array" aca="1" ref="G204" ca="1">IFERROR(_xlfn.IFS(AND(E204&lt;80000,E204&gt;15000),"MEDIUM",E204&gt;80000,"LARGE",E204&lt;15000,"SMALL"),"SMALL")</f>
        <v>LARGE</v>
      </c>
      <c r="H204" s="2" t="str">
        <f t="shared" ca="1" si="3"/>
        <v>false</v>
      </c>
      <c r="I204" s="10" cm="1" vm="811">
        <f t="array" aca="1" ref="I204" ca="1">_FV(D204,"Latitude")</f>
        <v>47.382777777778003</v>
      </c>
      <c r="J204" s="10" cm="1" vm="812">
        <f t="array" aca="1" ref="J204" ca="1">_FV(D204,"Longitude")</f>
        <v>-122.22694444443999</v>
      </c>
      <c r="K204">
        <v>332</v>
      </c>
      <c r="L204">
        <v>531</v>
      </c>
      <c r="M204" s="2" t="s">
        <v>15</v>
      </c>
    </row>
    <row r="205" spans="1:13" x14ac:dyDescent="0.25">
      <c r="A205" s="2">
        <v>2283</v>
      </c>
      <c r="B205" t="s">
        <v>220</v>
      </c>
      <c r="C205" t="s">
        <v>210</v>
      </c>
      <c r="D205" t="e" vm="813">
        <v>#VALUE!</v>
      </c>
      <c r="E205" s="2" cm="1" vm="814">
        <f t="array" aca="1" ref="E205" ca="1">_FV(D205,"Population")</f>
        <v>1636</v>
      </c>
      <c r="F205" s="4" cm="1">
        <f t="array" aca="1" ref="F205" ca="1">_xlfn.IFS(E205&lt;2500,E205/10,AND(E205&gt;=2500,E205&lt;25000),E205/25,AND(E205&gt;=25000,E205&lt;100000),E205/50,AND(E205&gt;=100000,E205&lt;1000000),E205/100,AND(E205&gt;=1000000,E205&lt;2000000),E205/150,AND(E205&gt;=2000000,E205&lt;3000000),E205/200,E205&gt;=3000000,E205/250)</f>
        <v>163.6</v>
      </c>
      <c r="G205" s="2" t="str" cm="1">
        <f t="array" aca="1" ref="G205" ca="1">IFERROR(_xlfn.IFS(AND(E205&lt;80000,E205&gt;15000),"MEDIUM",E205&gt;80000,"LARGE",E205&lt;15000,"SMALL"),"SMALL")</f>
        <v>SMALL</v>
      </c>
      <c r="H205" s="2" t="str">
        <f t="shared" ca="1" si="3"/>
        <v>false</v>
      </c>
      <c r="I205" s="10" cm="1" vm="815">
        <f t="array" aca="1" ref="I205" ca="1">_FV(D205,"Latitude")</f>
        <v>48.605800000000002</v>
      </c>
      <c r="J205" s="10" cm="1" vm="816">
        <f t="array" aca="1" ref="J205" ca="1">_FV(D205,"Longitude")</f>
        <v>-118.06</v>
      </c>
      <c r="K205">
        <v>81</v>
      </c>
      <c r="L205">
        <v>1384</v>
      </c>
      <c r="M205" s="2" t="s">
        <v>15</v>
      </c>
    </row>
    <row r="206" spans="1:13" x14ac:dyDescent="0.25">
      <c r="A206" s="2">
        <v>2287</v>
      </c>
      <c r="B206" t="s">
        <v>221</v>
      </c>
      <c r="C206" t="s">
        <v>210</v>
      </c>
      <c r="D206" t="e" vm="817">
        <v>#VALUE!</v>
      </c>
      <c r="E206" s="2" cm="1" vm="818">
        <f t="array" aca="1" ref="E206" ca="1">_FV(D206,"Population")</f>
        <v>92175</v>
      </c>
      <c r="F206" s="4" cm="1">
        <f t="array" aca="1" ref="F206" ca="1">_xlfn.IFS(E206&lt;2500,E206/10,AND(E206&gt;=2500,E206&lt;25000),E206/25,AND(E206&gt;=25000,E206&lt;100000),E206/50,AND(E206&gt;=100000,E206&lt;1000000),E206/100,AND(E206&gt;=1000000,E206&lt;2000000),E206/150,AND(E206&gt;=2000000,E206&lt;3000000),E206/200,E206&gt;=3000000,E206/250)</f>
        <v>1843.5</v>
      </c>
      <c r="G206" s="2" t="str" cm="1">
        <f t="array" aca="1" ref="G206" ca="1">IFERROR(_xlfn.IFS(AND(E206&lt;80000,E206&gt;15000),"MEDIUM",E206&gt;80000,"LARGE",E206&lt;15000,"SMALL"),"SMALL")</f>
        <v>LARGE</v>
      </c>
      <c r="H206" s="2" t="str">
        <f t="shared" ca="1" si="3"/>
        <v>false</v>
      </c>
      <c r="I206" s="10" cm="1" vm="819">
        <f t="array" aca="1" ref="I206" ca="1">_FV(D206,"Latitude")</f>
        <v>47.685833333333001</v>
      </c>
      <c r="J206" s="10" cm="1" vm="820">
        <f t="array" aca="1" ref="J206" ca="1">_FV(D206,"Longitude")</f>
        <v>-122.19166666667</v>
      </c>
      <c r="K206">
        <v>270</v>
      </c>
      <c r="L206">
        <v>538</v>
      </c>
      <c r="M206" s="2" t="s">
        <v>15</v>
      </c>
    </row>
    <row r="207" spans="1:13" x14ac:dyDescent="0.25">
      <c r="A207" s="2">
        <v>2309</v>
      </c>
      <c r="B207" t="s">
        <v>222</v>
      </c>
      <c r="C207" t="s">
        <v>210</v>
      </c>
      <c r="D207" t="e" vm="821">
        <v>#VALUE!</v>
      </c>
      <c r="E207" s="2" cm="1" vm="822">
        <f t="array" aca="1" ref="E207" ca="1">_FV(D207,"Population")</f>
        <v>2263</v>
      </c>
      <c r="F207" s="4" cm="1">
        <f t="array" aca="1" ref="F207" ca="1">_xlfn.IFS(E207&lt;2500,E207/10,AND(E207&gt;=2500,E207&lt;25000),E207/25,AND(E207&gt;=25000,E207&lt;100000),E207/50,AND(E207&gt;=100000,E207&lt;1000000),E207/100,AND(E207&gt;=1000000,E207&lt;2000000),E207/150,AND(E207&gt;=2000000,E207&lt;3000000),E207/200,E207&gt;=3000000,E207/250)</f>
        <v>226.3</v>
      </c>
      <c r="G207" s="2" t="str" cm="1">
        <f t="array" aca="1" ref="G207" ca="1">IFERROR(_xlfn.IFS(AND(E207&lt;80000,E207&gt;15000),"MEDIUM",E207&gt;80000,"LARGE",E207&lt;15000,"SMALL"),"SMALL")</f>
        <v>SMALL</v>
      </c>
      <c r="H207" s="2" t="str">
        <f t="shared" ca="1" si="3"/>
        <v>false</v>
      </c>
      <c r="I207" s="10" cm="1" vm="823">
        <f t="array" aca="1" ref="I207" ca="1">_FV(D207,"Latitude")</f>
        <v>47.596400000000003</v>
      </c>
      <c r="J207" s="10" cm="1" vm="824">
        <f t="array" aca="1" ref="J207" ca="1">_FV(D207,"Longitude")</f>
        <v>-120.66500000000001</v>
      </c>
      <c r="K207">
        <v>288</v>
      </c>
      <c r="L207">
        <v>851</v>
      </c>
      <c r="M207" s="2" t="s">
        <v>15</v>
      </c>
    </row>
    <row r="208" spans="1:13" x14ac:dyDescent="0.25">
      <c r="A208" s="2">
        <v>2317</v>
      </c>
      <c r="B208" t="s">
        <v>223</v>
      </c>
      <c r="C208" t="s">
        <v>210</v>
      </c>
      <c r="D208" t="e" vm="825">
        <v>#VALUE!</v>
      </c>
      <c r="E208" s="2" cm="1" vm="826">
        <f t="array" aca="1" ref="E208" ca="1">_FV(D208,"Population")</f>
        <v>37818</v>
      </c>
      <c r="F208" s="4" cm="1">
        <f t="array" aca="1" ref="F208" ca="1">_xlfn.IFS(E208&lt;2500,E208/10,AND(E208&gt;=2500,E208&lt;25000),E208/25,AND(E208&gt;=25000,E208&lt;100000),E208/50,AND(E208&gt;=100000,E208&lt;1000000),E208/100,AND(E208&gt;=1000000,E208&lt;2000000),E208/150,AND(E208&gt;=2000000,E208&lt;3000000),E208/200,E208&gt;=3000000,E208/250)</f>
        <v>756.36</v>
      </c>
      <c r="G208" s="2" t="str" cm="1">
        <f t="array" aca="1" ref="G208" ca="1">IFERROR(_xlfn.IFS(AND(E208&lt;80000,E208&gt;15000),"MEDIUM",E208&gt;80000,"LARGE",E208&lt;15000,"SMALL"),"SMALL")</f>
        <v>MEDIUM</v>
      </c>
      <c r="H208" s="2" t="str">
        <f t="shared" ca="1" si="3"/>
        <v>false</v>
      </c>
      <c r="I208" s="10" cm="1" vm="827">
        <f t="array" aca="1" ref="I208" ca="1">_FV(D208,"Latitude")</f>
        <v>46.14</v>
      </c>
      <c r="J208" s="10" cm="1" vm="828">
        <f t="array" aca="1" ref="J208" ca="1">_FV(D208,"Longitude")</f>
        <v>-122.9375</v>
      </c>
      <c r="K208">
        <v>586</v>
      </c>
      <c r="L208">
        <v>385</v>
      </c>
      <c r="M208" s="2" t="s">
        <v>15</v>
      </c>
    </row>
    <row r="209" spans="1:13" x14ac:dyDescent="0.25">
      <c r="A209" s="2">
        <v>2368</v>
      </c>
      <c r="B209" t="s">
        <v>224</v>
      </c>
      <c r="C209" t="s">
        <v>210</v>
      </c>
      <c r="D209" t="e" vm="829">
        <v>#VALUE!</v>
      </c>
      <c r="E209" s="2" cm="1" vm="830">
        <f t="array" aca="1" ref="E209" ca="1">_FV(D209,"Population")</f>
        <v>25146</v>
      </c>
      <c r="F209" s="4" cm="1">
        <f t="array" aca="1" ref="F209" ca="1">_xlfn.IFS(E209&lt;2500,E209/10,AND(E209&gt;=2500,E209&lt;25000),E209/25,AND(E209&gt;=25000,E209&lt;100000),E209/50,AND(E209&gt;=100000,E209&lt;1000000),E209/100,AND(E209&gt;=1000000,E209&lt;2000000),E209/150,AND(E209&gt;=2000000,E209&lt;3000000),E209/200,E209&gt;=3000000,E209/250)</f>
        <v>502.92</v>
      </c>
      <c r="G209" s="2" t="str" cm="1">
        <f t="array" aca="1" ref="G209" ca="1">IFERROR(_xlfn.IFS(AND(E209&lt;80000,E209&gt;15000),"MEDIUM",E209&gt;80000,"LARGE",E209&lt;15000,"SMALL"),"SMALL")</f>
        <v>MEDIUM</v>
      </c>
      <c r="H209" s="2" t="str">
        <f t="shared" ca="1" si="3"/>
        <v>false</v>
      </c>
      <c r="I209" s="10" cm="1" vm="831">
        <f t="array" aca="1" ref="I209" ca="1">_FV(D209,"Latitude")</f>
        <v>47.121099999999998</v>
      </c>
      <c r="J209" s="10" cm="1" vm="832">
        <f t="array" aca="1" ref="J209" ca="1">_FV(D209,"Longitude")</f>
        <v>-119.288</v>
      </c>
      <c r="K209">
        <v>385</v>
      </c>
      <c r="L209">
        <v>1133</v>
      </c>
      <c r="M209" s="2" t="s">
        <v>15</v>
      </c>
    </row>
    <row r="210" spans="1:13" x14ac:dyDescent="0.25">
      <c r="A210" s="2">
        <v>2378</v>
      </c>
      <c r="B210" t="s">
        <v>225</v>
      </c>
      <c r="C210" t="s">
        <v>210</v>
      </c>
      <c r="D210" t="e" vm="833">
        <v>#VALUE!</v>
      </c>
      <c r="E210" s="2" cm="1" vm="834">
        <f t="array" aca="1" ref="E210" ca="1">_FV(D210,"Population")</f>
        <v>935</v>
      </c>
      <c r="F210" s="4" cm="1">
        <f t="array" aca="1" ref="F210" ca="1">_xlfn.IFS(E210&lt;2500,E210/10,AND(E210&gt;=2500,E210&lt;25000),E210/25,AND(E210&gt;=25000,E210&lt;100000),E210/50,AND(E210&gt;=100000,E210&lt;1000000),E210/100,AND(E210&gt;=1000000,E210&lt;2000000),E210/150,AND(E210&gt;=2000000,E210&lt;3000000),E210/200,E210&gt;=3000000,E210/250)</f>
        <v>93.5</v>
      </c>
      <c r="G210" s="2" t="str" cm="1">
        <f t="array" aca="1" ref="G210" ca="1">IFERROR(_xlfn.IFS(AND(E210&lt;80000,E210&gt;15000),"MEDIUM",E210&gt;80000,"LARGE",E210&lt;15000,"SMALL"),"SMALL")</f>
        <v>SMALL</v>
      </c>
      <c r="H210" s="2" t="str">
        <f t="shared" ca="1" si="3"/>
        <v>false</v>
      </c>
      <c r="I210" s="10" cm="1" vm="835">
        <f t="array" aca="1" ref="I210" ca="1">_FV(D210,"Latitude")</f>
        <v>48.365600000000001</v>
      </c>
      <c r="J210" s="10" cm="1" vm="836">
        <f t="array" aca="1" ref="J210" ca="1">_FV(D210,"Longitude")</f>
        <v>-124.616</v>
      </c>
      <c r="K210">
        <v>131</v>
      </c>
      <c r="L210">
        <v>41</v>
      </c>
      <c r="M210" s="2" t="s">
        <v>15</v>
      </c>
    </row>
    <row r="211" spans="1:13" x14ac:dyDescent="0.25">
      <c r="A211" s="2">
        <v>2382</v>
      </c>
      <c r="B211" t="s">
        <v>226</v>
      </c>
      <c r="C211" t="s">
        <v>210</v>
      </c>
      <c r="D211" t="e" vm="837">
        <v>#VALUE!</v>
      </c>
      <c r="E211" s="2" cm="1" vm="838">
        <f t="array" aca="1" ref="E211" ca="1">_FV(D211,"Population")</f>
        <v>2114</v>
      </c>
      <c r="F211" s="4" cm="1">
        <f t="array" aca="1" ref="F211" ca="1">_xlfn.IFS(E211&lt;2500,E211/10,AND(E211&gt;=2500,E211&lt;25000),E211/25,AND(E211&gt;=25000,E211&lt;100000),E211/50,AND(E211&gt;=100000,E211&lt;1000000),E211/100,AND(E211&gt;=1000000,E211&lt;2000000),E211/150,AND(E211&gt;=2000000,E211&lt;3000000),E211/200,E211&gt;=3000000,E211/250)</f>
        <v>211.4</v>
      </c>
      <c r="G211" s="2" t="str" cm="1">
        <f t="array" aca="1" ref="G211" ca="1">IFERROR(_xlfn.IFS(AND(E211&lt;80000,E211&gt;15000),"MEDIUM",E211&gt;80000,"LARGE",E211&lt;15000,"SMALL"),"SMALL")</f>
        <v>SMALL</v>
      </c>
      <c r="H211" s="2" t="str">
        <f t="shared" ca="1" si="3"/>
        <v>false</v>
      </c>
      <c r="I211" s="10" cm="1" vm="839">
        <f t="array" aca="1" ref="I211" ca="1">_FV(D211,"Latitude")</f>
        <v>48.180555555555998</v>
      </c>
      <c r="J211" s="10" cm="1" vm="840">
        <f t="array" aca="1" ref="J211" ca="1">_FV(D211,"Longitude")</f>
        <v>-117.0475</v>
      </c>
      <c r="K211">
        <v>168</v>
      </c>
      <c r="L211">
        <v>1591</v>
      </c>
      <c r="M211" s="2" t="s">
        <v>15</v>
      </c>
    </row>
    <row r="212" spans="1:13" x14ac:dyDescent="0.25">
      <c r="A212" s="2">
        <v>2401</v>
      </c>
      <c r="B212" t="s">
        <v>227</v>
      </c>
      <c r="C212" t="s">
        <v>210</v>
      </c>
      <c r="D212" t="e" vm="841">
        <v>#VALUE!</v>
      </c>
      <c r="E212" s="2" cm="1" vm="842">
        <f t="array" aca="1" ref="E212" ca="1">_FV(D212,"Population")</f>
        <v>55605</v>
      </c>
      <c r="F212" s="4" cm="1">
        <f t="array" aca="1" ref="F212" ca="1">_xlfn.IFS(E212&lt;2500,E212/10,AND(E212&gt;=2500,E212&lt;25000),E212/25,AND(E212&gt;=25000,E212&lt;100000),E212/50,AND(E212&gt;=100000,E212&lt;1000000),E212/100,AND(E212&gt;=1000000,E212&lt;2000000),E212/150,AND(E212&gt;=2000000,E212&lt;3000000),E212/200,E212&gt;=3000000,E212/250)</f>
        <v>1112.0999999999999</v>
      </c>
      <c r="G212" s="2" t="str" cm="1">
        <f t="array" aca="1" ref="G212" ca="1">IFERROR(_xlfn.IFS(AND(E212&lt;80000,E212&gt;15000),"MEDIUM",E212&gt;80000,"LARGE",E212&lt;15000,"SMALL"),"SMALL")</f>
        <v>MEDIUM</v>
      </c>
      <c r="H212" s="2" t="str">
        <f t="shared" ca="1" si="3"/>
        <v>false</v>
      </c>
      <c r="I212" s="10" cm="1" vm="843">
        <f t="array" aca="1" ref="I212" ca="1">_FV(D212,"Latitude")</f>
        <v>47.042499999999997</v>
      </c>
      <c r="J212" s="10" cm="1" vm="844">
        <f t="array" aca="1" ref="J212" ca="1">_FV(D212,"Longitude")</f>
        <v>-122.89305555556</v>
      </c>
      <c r="K212">
        <v>401</v>
      </c>
      <c r="L212">
        <v>394</v>
      </c>
      <c r="M212" s="2" t="s">
        <v>15</v>
      </c>
    </row>
    <row r="213" spans="1:13" x14ac:dyDescent="0.25">
      <c r="A213" s="2">
        <v>2402</v>
      </c>
      <c r="B213" t="s">
        <v>228</v>
      </c>
      <c r="C213" t="s">
        <v>210</v>
      </c>
      <c r="D213" t="e" vm="845">
        <v>#VALUE!</v>
      </c>
      <c r="E213" s="2" cm="1" vm="846">
        <f t="array" aca="1" ref="E213" ca="1">_FV(D213,"Population")</f>
        <v>4860</v>
      </c>
      <c r="F213" s="4" cm="1">
        <f t="array" aca="1" ref="F213" ca="1">_xlfn.IFS(E213&lt;2500,E213/10,AND(E213&gt;=2500,E213&lt;25000),E213/25,AND(E213&gt;=25000,E213&lt;100000),E213/50,AND(E213&gt;=100000,E213&lt;1000000),E213/100,AND(E213&gt;=1000000,E213&lt;2000000),E213/150,AND(E213&gt;=2000000,E213&lt;3000000),E213/200,E213&gt;=3000000,E213/250)</f>
        <v>194.4</v>
      </c>
      <c r="G213" s="2" t="str" cm="1">
        <f t="array" aca="1" ref="G213" ca="1">IFERROR(_xlfn.IFS(AND(E213&lt;80000,E213&gt;15000),"MEDIUM",E213&gt;80000,"LARGE",E213&lt;15000,"SMALL"),"SMALL")</f>
        <v>SMALL</v>
      </c>
      <c r="H213" s="2" t="str">
        <f t="shared" ca="1" si="3"/>
        <v>false</v>
      </c>
      <c r="I213" s="10" cm="1" vm="847">
        <f t="array" aca="1" ref="I213" ca="1">_FV(D213,"Latitude")</f>
        <v>48.412500000000001</v>
      </c>
      <c r="J213" s="10" cm="1" vm="848">
        <f t="array" aca="1" ref="J213" ca="1">_FV(D213,"Longitude")</f>
        <v>-119.53700000000001</v>
      </c>
      <c r="K213">
        <v>121</v>
      </c>
      <c r="L213">
        <v>1082</v>
      </c>
      <c r="M213" s="2" t="s">
        <v>15</v>
      </c>
    </row>
    <row r="214" spans="1:13" x14ac:dyDescent="0.25">
      <c r="A214" s="2">
        <v>2436</v>
      </c>
      <c r="B214" t="s">
        <v>229</v>
      </c>
      <c r="C214" t="s">
        <v>210</v>
      </c>
      <c r="D214" t="e" vm="849">
        <v>#VALUE!</v>
      </c>
      <c r="E214" s="2" cm="1" vm="850">
        <f t="array" aca="1" ref="E214" ca="1">_FV(D214,"Population")</f>
        <v>32901</v>
      </c>
      <c r="F214" s="4" cm="1">
        <f t="array" aca="1" ref="F214" ca="1">_xlfn.IFS(E214&lt;2500,E214/10,AND(E214&gt;=2500,E214&lt;25000),E214/25,AND(E214&gt;=25000,E214&lt;100000),E214/50,AND(E214&gt;=100000,E214&lt;1000000),E214/100,AND(E214&gt;=1000000,E214&lt;2000000),E214/150,AND(E214&gt;=2000000,E214&lt;3000000),E214/200,E214&gt;=3000000,E214/250)</f>
        <v>658.02</v>
      </c>
      <c r="G214" s="2" t="str" cm="1">
        <f t="array" aca="1" ref="G214" ca="1">IFERROR(_xlfn.IFS(AND(E214&lt;80000,E214&gt;15000),"MEDIUM",E214&gt;80000,"LARGE",E214&lt;15000,"SMALL"),"SMALL")</f>
        <v>MEDIUM</v>
      </c>
      <c r="H214" s="2" t="str">
        <f t="shared" ca="1" si="3"/>
        <v>false</v>
      </c>
      <c r="I214" s="10" cm="1" vm="851">
        <f t="array" aca="1" ref="I214" ca="1">_FV(D214,"Latitude")</f>
        <v>46.733333333333</v>
      </c>
      <c r="J214" s="10" cm="1" vm="852">
        <f t="array" aca="1" ref="J214" ca="1">_FV(D214,"Longitude")</f>
        <v>-117.16666666667</v>
      </c>
      <c r="K214">
        <v>465</v>
      </c>
      <c r="L214">
        <v>1567</v>
      </c>
      <c r="M214" s="2" t="s">
        <v>15</v>
      </c>
    </row>
    <row r="215" spans="1:13" x14ac:dyDescent="0.25">
      <c r="A215" s="2">
        <v>2447</v>
      </c>
      <c r="B215" t="s">
        <v>230</v>
      </c>
      <c r="C215" t="s">
        <v>210</v>
      </c>
      <c r="D215" t="e" vm="853">
        <v>#VALUE!</v>
      </c>
      <c r="E215" s="2" cm="1" vm="854">
        <f t="array" aca="1" ref="E215" ca="1">_FV(D215,"Population")</f>
        <v>106785</v>
      </c>
      <c r="F215" s="4" cm="1">
        <f t="array" aca="1" ref="F215" ca="1">_xlfn.IFS(E215&lt;2500,E215/10,AND(E215&gt;=2500,E215&lt;25000),E215/25,AND(E215&gt;=25000,E215&lt;100000),E215/50,AND(E215&gt;=100000,E215&lt;1000000),E215/100,AND(E215&gt;=1000000,E215&lt;2000000),E215/150,AND(E215&gt;=2000000,E215&lt;3000000),E215/200,E215&gt;=3000000,E215/250)</f>
        <v>1067.8499999999999</v>
      </c>
      <c r="G215" s="2" t="str" cm="1">
        <f t="array" aca="1" ref="G215" ca="1">IFERROR(_xlfn.IFS(AND(E215&lt;80000,E215&gt;15000),"MEDIUM",E215&gt;80000,"LARGE",E215&lt;15000,"SMALL"),"SMALL")</f>
        <v>LARGE</v>
      </c>
      <c r="H215" s="2" t="str">
        <f t="shared" ca="1" si="3"/>
        <v>false</v>
      </c>
      <c r="I215" s="10" cm="1" vm="855">
        <f t="array" aca="1" ref="I215" ca="1">_FV(D215,"Latitude")</f>
        <v>47.479916666666703</v>
      </c>
      <c r="J215" s="10" cm="1" vm="856">
        <f t="array" aca="1" ref="J215" ca="1">_FV(D215,"Longitude")</f>
        <v>-122.203444444444</v>
      </c>
      <c r="K215">
        <v>312</v>
      </c>
      <c r="L215">
        <v>535</v>
      </c>
      <c r="M215" s="2" t="s">
        <v>15</v>
      </c>
    </row>
    <row r="216" spans="1:13" x14ac:dyDescent="0.25">
      <c r="A216" s="2">
        <v>2473</v>
      </c>
      <c r="B216" t="s">
        <v>231</v>
      </c>
      <c r="C216" t="s">
        <v>210</v>
      </c>
      <c r="D216" t="e" vm="857">
        <v>#VALUE!</v>
      </c>
      <c r="E216" s="2" cm="1" vm="858">
        <f t="array" aca="1" ref="E216" ca="1">_FV(D216,"Population")</f>
        <v>737015</v>
      </c>
      <c r="F216" s="4" cm="1">
        <f t="array" aca="1" ref="F216" ca="1">_xlfn.IFS(E216&lt;2500,E216/10,AND(E216&gt;=2500,E216&lt;25000),E216/25,AND(E216&gt;=25000,E216&lt;100000),E216/50,AND(E216&gt;=100000,E216&lt;1000000),E216/100,AND(E216&gt;=1000000,E216&lt;2000000),E216/150,AND(E216&gt;=2000000,E216&lt;3000000),E216/200,E216&gt;=3000000,E216/250)</f>
        <v>7370.15</v>
      </c>
      <c r="G216" s="2" t="str" cm="1">
        <f t="array" aca="1" ref="G216" ca="1">IFERROR(_xlfn.IFS(AND(E216&lt;80000,E216&gt;15000),"MEDIUM",E216&gt;80000,"LARGE",E216&lt;15000,"SMALL"),"SMALL")</f>
        <v>LARGE</v>
      </c>
      <c r="H216" s="2" t="str">
        <f t="shared" ca="1" si="3"/>
        <v>true</v>
      </c>
      <c r="I216" s="10" cm="1" vm="859">
        <f t="array" aca="1" ref="I216" ca="1">_FV(D216,"Latitude")</f>
        <v>47.606209999999997</v>
      </c>
      <c r="J216" s="10" cm="1" vm="860">
        <f t="array" aca="1" ref="J216" ca="1">_FV(D216,"Longitude")</f>
        <v>-122.33207</v>
      </c>
      <c r="K216">
        <v>286</v>
      </c>
      <c r="L216">
        <v>509</v>
      </c>
      <c r="M216" s="2" t="s">
        <v>15</v>
      </c>
    </row>
    <row r="217" spans="1:13" x14ac:dyDescent="0.25">
      <c r="A217" s="2">
        <v>2477</v>
      </c>
      <c r="B217" t="s">
        <v>232</v>
      </c>
      <c r="C217" t="s">
        <v>210</v>
      </c>
      <c r="D217" t="e" vm="861">
        <v>#VALUE!</v>
      </c>
      <c r="E217" s="2" cm="1" vm="862">
        <f t="array" aca="1" ref="E217" ca="1">_FV(D217,"Population")</f>
        <v>8024</v>
      </c>
      <c r="F217" s="4" cm="1">
        <f t="array" aca="1" ref="F217" ca="1">_xlfn.IFS(E217&lt;2500,E217/10,AND(E217&gt;=2500,E217&lt;25000),E217/25,AND(E217&gt;=25000,E217&lt;100000),E217/50,AND(E217&gt;=100000,E217&lt;1000000),E217/100,AND(E217&gt;=1000000,E217&lt;2000000),E217/150,AND(E217&gt;=2000000,E217&lt;3000000),E217/200,E217&gt;=3000000,E217/250)</f>
        <v>320.95999999999998</v>
      </c>
      <c r="G217" s="2" t="str" cm="1">
        <f t="array" aca="1" ref="G217" ca="1">IFERROR(_xlfn.IFS(AND(E217&lt;80000,E217&gt;15000),"MEDIUM",E217&gt;80000,"LARGE",E217&lt;15000,"SMALL"),"SMALL")</f>
        <v>SMALL</v>
      </c>
      <c r="H217" s="2" t="str">
        <f t="shared" ca="1" si="3"/>
        <v>false</v>
      </c>
      <c r="I217" s="10" cm="1" vm="863">
        <f t="array" aca="1" ref="I217" ca="1">_FV(D217,"Latitude")</f>
        <v>48.078055555555999</v>
      </c>
      <c r="J217" s="10" cm="1" vm="864">
        <f t="array" aca="1" ref="J217" ca="1">_FV(D217,"Longitude")</f>
        <v>-123.10138888889</v>
      </c>
      <c r="K217">
        <v>189</v>
      </c>
      <c r="L217">
        <v>352</v>
      </c>
      <c r="M217" s="2" t="s">
        <v>15</v>
      </c>
    </row>
    <row r="218" spans="1:13" x14ac:dyDescent="0.25">
      <c r="A218" s="2">
        <v>2498</v>
      </c>
      <c r="B218" t="s">
        <v>233</v>
      </c>
      <c r="C218" t="s">
        <v>210</v>
      </c>
      <c r="D218" t="e" vm="865">
        <v>#VALUE!</v>
      </c>
      <c r="E218" s="2" cm="1" vm="866">
        <f t="array" aca="1" ref="E218" ca="1">_FV(D218,"Population")</f>
        <v>228989</v>
      </c>
      <c r="F218" s="4" cm="1">
        <f t="array" aca="1" ref="F218" ca="1">_xlfn.IFS(E218&lt;2500,E218/10,AND(E218&gt;=2500,E218&lt;25000),E218/25,AND(E218&gt;=25000,E218&lt;100000),E218/50,AND(E218&gt;=100000,E218&lt;1000000),E218/100,AND(E218&gt;=1000000,E218&lt;2000000),E218/150,AND(E218&gt;=2000000,E218&lt;3000000),E218/200,E218&gt;=3000000,E218/250)</f>
        <v>2289.89</v>
      </c>
      <c r="G218" s="2" t="str" cm="1">
        <f t="array" aca="1" ref="G218" ca="1">IFERROR(_xlfn.IFS(AND(E218&lt;80000,E218&gt;15000),"MEDIUM",E218&gt;80000,"LARGE",E218&lt;15000,"SMALL"),"SMALL")</f>
        <v>LARGE</v>
      </c>
      <c r="H218" s="2" t="str">
        <f t="shared" ca="1" si="3"/>
        <v>true</v>
      </c>
      <c r="I218" s="10" cm="1" vm="867">
        <f t="array" aca="1" ref="I218" ca="1">_FV(D218,"Latitude")</f>
        <v>47.6571944444444</v>
      </c>
      <c r="J218" s="10" cm="1" vm="868">
        <f t="array" aca="1" ref="J218" ca="1">_FV(D218,"Longitude")</f>
        <v>-117.4235</v>
      </c>
      <c r="K218">
        <v>276</v>
      </c>
      <c r="L218">
        <v>1514</v>
      </c>
      <c r="M218" s="2" t="s">
        <v>15</v>
      </c>
    </row>
    <row r="219" spans="1:13" x14ac:dyDescent="0.25">
      <c r="A219" s="2">
        <v>2515</v>
      </c>
      <c r="B219" t="s">
        <v>234</v>
      </c>
      <c r="C219" t="s">
        <v>210</v>
      </c>
      <c r="D219" t="e" vm="869">
        <v>#VALUE!</v>
      </c>
      <c r="E219" s="2" cm="1" vm="870">
        <f t="array" aca="1" ref="E219" ca="1">_FV(D219,"Population")</f>
        <v>219346</v>
      </c>
      <c r="F219" s="4" cm="1">
        <f t="array" aca="1" ref="F219" ca="1">_xlfn.IFS(E219&lt;2500,E219/10,AND(E219&gt;=2500,E219&lt;25000),E219/25,AND(E219&gt;=25000,E219&lt;100000),E219/50,AND(E219&gt;=100000,E219&lt;1000000),E219/100,AND(E219&gt;=1000000,E219&lt;2000000),E219/150,AND(E219&gt;=2000000,E219&lt;3000000),E219/200,E219&gt;=3000000,E219/250)</f>
        <v>2193.46</v>
      </c>
      <c r="G219" s="2" t="str" cm="1">
        <f t="array" aca="1" ref="G219" ca="1">IFERROR(_xlfn.IFS(AND(E219&lt;80000,E219&gt;15000),"MEDIUM",E219&gt;80000,"LARGE",E219&lt;15000,"SMALL"),"SMALL")</f>
        <v>LARGE</v>
      </c>
      <c r="H219" s="2" t="str">
        <f t="shared" ca="1" si="3"/>
        <v>true</v>
      </c>
      <c r="I219" s="10" cm="1" vm="871">
        <f t="array" aca="1" ref="I219" ca="1">_FV(D219,"Latitude")</f>
        <v>47.241388888888999</v>
      </c>
      <c r="J219" s="10" cm="1" vm="872">
        <f t="array" aca="1" ref="J219" ca="1">_FV(D219,"Longitude")</f>
        <v>-122.45944444444</v>
      </c>
      <c r="K219">
        <v>361</v>
      </c>
      <c r="L219">
        <v>483</v>
      </c>
      <c r="M219" s="2" t="s">
        <v>15</v>
      </c>
    </row>
    <row r="220" spans="1:13" x14ac:dyDescent="0.25">
      <c r="A220" s="2">
        <v>2540</v>
      </c>
      <c r="B220" t="s">
        <v>235</v>
      </c>
      <c r="C220" t="s">
        <v>210</v>
      </c>
      <c r="D220" t="e" vm="873">
        <v>#VALUE!</v>
      </c>
      <c r="E220" s="2" cm="1" vm="874">
        <f t="array" aca="1" ref="E220" ca="1">_FV(D220,"Population")</f>
        <v>190915</v>
      </c>
      <c r="F220" s="4" cm="1">
        <f t="array" aca="1" ref="F220" ca="1">_xlfn.IFS(E220&lt;2500,E220/10,AND(E220&gt;=2500,E220&lt;25000),E220/25,AND(E220&gt;=25000,E220&lt;100000),E220/50,AND(E220&gt;=100000,E220&lt;1000000),E220/100,AND(E220&gt;=1000000,E220&lt;2000000),E220/150,AND(E220&gt;=2000000,E220&lt;3000000),E220/200,E220&gt;=3000000,E220/250)</f>
        <v>1909.15</v>
      </c>
      <c r="G220" s="2" t="str" cm="1">
        <f t="array" aca="1" ref="G220" ca="1">IFERROR(_xlfn.IFS(AND(E220&lt;80000,E220&gt;15000),"MEDIUM",E220&gt;80000,"LARGE",E220&lt;15000,"SMALL"),"SMALL")</f>
        <v>LARGE</v>
      </c>
      <c r="H220" s="2" t="str">
        <f t="shared" ca="1" si="3"/>
        <v>false</v>
      </c>
      <c r="I220" s="10" cm="1" vm="875">
        <f t="array" aca="1" ref="I220" ca="1">_FV(D220,"Latitude")</f>
        <v>45.631111111111103</v>
      </c>
      <c r="J220" s="10" cm="1" vm="876">
        <f t="array" aca="1" ref="J220" ca="1">_FV(D220,"Longitude")</f>
        <v>-122.67166666666699</v>
      </c>
      <c r="K220">
        <v>690</v>
      </c>
      <c r="L220">
        <v>440</v>
      </c>
      <c r="M220" s="2" t="s">
        <v>15</v>
      </c>
    </row>
    <row r="221" spans="1:13" x14ac:dyDescent="0.25">
      <c r="A221" s="2">
        <v>2544</v>
      </c>
      <c r="B221" t="s">
        <v>236</v>
      </c>
      <c r="C221" t="s">
        <v>210</v>
      </c>
      <c r="D221" t="e" vm="877">
        <v>#VALUE!</v>
      </c>
      <c r="E221" s="2" cm="1" vm="878">
        <f t="array" aca="1" ref="E221" ca="1">_FV(D221,"Population")</f>
        <v>34060</v>
      </c>
      <c r="F221" s="4" cm="1">
        <f t="array" aca="1" ref="F221" ca="1">_xlfn.IFS(E221&lt;2500,E221/10,AND(E221&gt;=2500,E221&lt;25000),E221/25,AND(E221&gt;=25000,E221&lt;100000),E221/50,AND(E221&gt;=100000,E221&lt;1000000),E221/100,AND(E221&gt;=1000000,E221&lt;2000000),E221/150,AND(E221&gt;=2000000,E221&lt;3000000),E221/200,E221&gt;=3000000,E221/250)</f>
        <v>681.2</v>
      </c>
      <c r="G221" s="2" t="str" cm="1">
        <f t="array" aca="1" ref="G221" ca="1">IFERROR(_xlfn.IFS(AND(E221&lt;80000,E221&gt;15000),"MEDIUM",E221&gt;80000,"LARGE",E221&lt;15000,"SMALL"),"SMALL")</f>
        <v>MEDIUM</v>
      </c>
      <c r="H221" s="2" t="str">
        <f t="shared" ca="1" si="3"/>
        <v>false</v>
      </c>
      <c r="I221" s="10" cm="1" vm="879">
        <f t="array" aca="1" ref="I221" ca="1">_FV(D221,"Latitude")</f>
        <v>46.064999999999998</v>
      </c>
      <c r="J221" s="10" cm="1" vm="880">
        <f t="array" aca="1" ref="J221" ca="1">_FV(D221,"Longitude")</f>
        <v>-118.33027777778</v>
      </c>
      <c r="K221">
        <v>602</v>
      </c>
      <c r="L221">
        <v>1329</v>
      </c>
      <c r="M221" s="2" t="s">
        <v>15</v>
      </c>
    </row>
    <row r="222" spans="1:13" x14ac:dyDescent="0.25">
      <c r="A222" s="2"/>
      <c r="B222" t="s">
        <v>266</v>
      </c>
      <c r="C222" t="s">
        <v>210</v>
      </c>
      <c r="D222" t="e" vm="881">
        <v>#VALUE!</v>
      </c>
      <c r="E222" s="2" cm="1" vm="882">
        <f t="array" aca="1" ref="E222" ca="1">_FV(D222,"Population")</f>
        <v>35508</v>
      </c>
      <c r="F222" s="4" cm="1">
        <f t="array" aca="1" ref="F222" ca="1">_xlfn.IFS(E222&lt;2500,E222/10,AND(E222&gt;=2500,E222&lt;25000),E222/25,AND(E222&gt;=25000,E222&lt;100000),E222/50,AND(E222&gt;=100000,E222&lt;1000000),E222/100,AND(E222&gt;=1000000,E222&lt;2000000),E222/150,AND(E222&gt;=2000000,E222&lt;3000000),E222/200,E222&gt;=3000000,E222/250)</f>
        <v>710.16</v>
      </c>
      <c r="G222" s="2" t="str" cm="1">
        <f t="array" aca="1" ref="G222" ca="1">IFERROR(_xlfn.IFS(AND(E222&lt;80000,E222&gt;15000),"MEDIUM",E222&gt;80000,"LARGE",E222&lt;15000,"SMALL"),"SMALL")</f>
        <v>MEDIUM</v>
      </c>
      <c r="H222" s="2" t="str">
        <f t="shared" ca="1" si="3"/>
        <v>false</v>
      </c>
      <c r="I222" s="10" cm="1" vm="883">
        <f t="array" aca="1" ref="I222" ca="1">_FV(D222,"Latitude")</f>
        <v>47.423333333332998</v>
      </c>
      <c r="J222" s="10" cm="1" vm="884">
        <f t="array" aca="1" ref="J222" ca="1">_FV(D222,"Longitude")</f>
        <v>-120.32527777778</v>
      </c>
      <c r="K222">
        <v>323</v>
      </c>
      <c r="L222">
        <v>920</v>
      </c>
      <c r="M222" s="2" t="s">
        <v>15</v>
      </c>
    </row>
    <row r="223" spans="1:13" x14ac:dyDescent="0.25">
      <c r="A223" s="2">
        <v>2573</v>
      </c>
      <c r="B223" t="s">
        <v>237</v>
      </c>
      <c r="C223" t="s">
        <v>210</v>
      </c>
      <c r="D223" t="e" vm="885">
        <v>#VALUE!</v>
      </c>
      <c r="E223" s="2" cm="1" vm="886">
        <f t="array" aca="1" ref="E223" ca="1">_FV(D223,"Population")</f>
        <v>96968</v>
      </c>
      <c r="F223" s="4" cm="1">
        <f t="array" aca="1" ref="F223" ca="1">_xlfn.IFS(E223&lt;2500,E223/10,AND(E223&gt;=2500,E223&lt;25000),E223/25,AND(E223&gt;=25000,E223&lt;100000),E223/50,AND(E223&gt;=100000,E223&lt;1000000),E223/100,AND(E223&gt;=1000000,E223&lt;2000000),E223/150,AND(E223&gt;=2000000,E223&lt;3000000),E223/200,E223&gt;=3000000,E223/250)</f>
        <v>1939.36</v>
      </c>
      <c r="G223" s="2" t="str" cm="1">
        <f t="array" aca="1" ref="G223" ca="1">IFERROR(_xlfn.IFS(AND(E223&lt;80000,E223&gt;15000),"MEDIUM",E223&gt;80000,"LARGE",E223&lt;15000,"SMALL"),"SMALL")</f>
        <v>LARGE</v>
      </c>
      <c r="H223" s="2" t="str">
        <f t="shared" ca="1" si="3"/>
        <v>false</v>
      </c>
      <c r="I223" s="10" cm="1" vm="887">
        <f t="array" aca="1" ref="I223" ca="1">_FV(D223,"Latitude")</f>
        <v>46.601944444444001</v>
      </c>
      <c r="J223" s="10" cm="1" vm="888">
        <f t="array" aca="1" ref="J223" ca="1">_FV(D223,"Longitude")</f>
        <v>-120.50777777778001</v>
      </c>
      <c r="K223">
        <v>492</v>
      </c>
      <c r="L223">
        <v>883</v>
      </c>
      <c r="M223" s="2" t="s">
        <v>15</v>
      </c>
    </row>
    <row r="224" spans="1:13" x14ac:dyDescent="0.25">
      <c r="A224" s="2">
        <v>2579</v>
      </c>
      <c r="B224" t="s">
        <v>238</v>
      </c>
      <c r="C224" t="s">
        <v>239</v>
      </c>
      <c r="D224" t="e" vm="889">
        <v>#VALUE!</v>
      </c>
      <c r="E224" s="2" cm="1" vm="890">
        <f t="array" aca="1" ref="E224" ca="1">_FV(D224,"Population")</f>
        <v>709</v>
      </c>
      <c r="F224" s="4" cm="1">
        <f t="array" aca="1" ref="F224" ca="1">_xlfn.IFS(E224&lt;2500,E224/10,AND(E224&gt;=2500,E224&lt;25000),E224/25,AND(E224&gt;=25000,E224&lt;100000),E224/50,AND(E224&gt;=100000,E224&lt;1000000),E224/100,AND(E224&gt;=1000000,E224&lt;2000000),E224/150,AND(E224&gt;=2000000,E224&lt;3000000),E224/200,E224&gt;=3000000,E224/250)</f>
        <v>70.900000000000006</v>
      </c>
      <c r="G224" s="2" t="str" cm="1">
        <f t="array" aca="1" ref="G224" ca="1">IFERROR(_xlfn.IFS(AND(E224&lt;80000,E224&gt;15000),"MEDIUM",E224&gt;80000,"LARGE",E224&lt;15000,"SMALL"),"SMALL")</f>
        <v>SMALL</v>
      </c>
      <c r="H224" s="2" t="str">
        <f t="shared" ca="1" si="3"/>
        <v>false</v>
      </c>
      <c r="I224" s="10" cm="1" vm="891">
        <f t="array" aca="1" ref="I224" ca="1">_FV(D224,"Latitude")</f>
        <v>47.946100000000001</v>
      </c>
      <c r="J224" s="10" cm="1" vm="892">
        <f t="array" aca="1" ref="J224" ca="1">_FV(D224,"Longitude")</f>
        <v>-116.70699999999999</v>
      </c>
      <c r="K224">
        <v>216</v>
      </c>
      <c r="L224">
        <v>1661</v>
      </c>
      <c r="M224" s="2" t="s">
        <v>15</v>
      </c>
    </row>
    <row r="225" spans="1:13" x14ac:dyDescent="0.25">
      <c r="A225" s="2">
        <v>2585</v>
      </c>
      <c r="B225" t="s">
        <v>240</v>
      </c>
      <c r="C225" t="s">
        <v>239</v>
      </c>
      <c r="D225" t="e" vm="893">
        <v>#VALUE!</v>
      </c>
      <c r="E225" s="2" cm="1" vm="894">
        <f t="array" aca="1" ref="E225" ca="1">_FV(D225,"Population")</f>
        <v>235684</v>
      </c>
      <c r="F225" s="4" cm="1">
        <f t="array" aca="1" ref="F225" ca="1">_xlfn.IFS(E225&lt;2500,E225/10,AND(E225&gt;=2500,E225&lt;25000),E225/25,AND(E225&gt;=25000,E225&lt;100000),E225/50,AND(E225&gt;=100000,E225&lt;1000000),E225/100,AND(E225&gt;=1000000,E225&lt;2000000),E225/150,AND(E225&gt;=2000000,E225&lt;3000000),E225/200,E225&gt;=3000000,E225/250)</f>
        <v>2356.84</v>
      </c>
      <c r="G225" s="2" t="str" cm="1">
        <f t="array" aca="1" ref="G225" ca="1">IFERROR(_xlfn.IFS(AND(E225&lt;80000,E225&gt;15000),"MEDIUM",E225&gt;80000,"LARGE",E225&lt;15000,"SMALL"),"SMALL")</f>
        <v>LARGE</v>
      </c>
      <c r="H225" s="2" t="str">
        <f t="shared" ca="1" si="3"/>
        <v>true</v>
      </c>
      <c r="I225" s="10" cm="1" vm="895">
        <f t="array" aca="1" ref="I225" ca="1">_FV(D225,"Latitude")</f>
        <v>43.613611111110998</v>
      </c>
      <c r="J225" s="10" cm="1" vm="896">
        <f t="array" aca="1" ref="J225" ca="1">_FV(D225,"Longitude")</f>
        <v>-116.23777777778</v>
      </c>
      <c r="K225">
        <v>1104</v>
      </c>
      <c r="L225">
        <v>1757</v>
      </c>
      <c r="M225" s="2" t="s">
        <v>15</v>
      </c>
    </row>
    <row r="226" spans="1:13" x14ac:dyDescent="0.25">
      <c r="A226" s="2">
        <v>2586</v>
      </c>
      <c r="B226" t="s">
        <v>241</v>
      </c>
      <c r="C226" t="s">
        <v>239</v>
      </c>
      <c r="D226" t="e" vm="897">
        <v>#VALUE!</v>
      </c>
      <c r="E226" s="2" cm="1" vm="898">
        <f t="array" aca="1" ref="E226" ca="1">_FV(D226,"Population")</f>
        <v>2520</v>
      </c>
      <c r="F226" s="4" cm="1">
        <f t="array" aca="1" ref="F226" ca="1">_xlfn.IFS(E226&lt;2500,E226/10,AND(E226&gt;=2500,E226&lt;25000),E226/25,AND(E226&gt;=25000,E226&lt;100000),E226/50,AND(E226&gt;=100000,E226&lt;1000000),E226/100,AND(E226&gt;=1000000,E226&lt;2000000),E226/150,AND(E226&gt;=2000000,E226&lt;3000000),E226/200,E226&gt;=3000000,E226/250)</f>
        <v>100.8</v>
      </c>
      <c r="G226" s="2" t="str" cm="1">
        <f t="array" aca="1" ref="G226" ca="1">IFERROR(_xlfn.IFS(AND(E226&lt;80000,E226&gt;15000),"MEDIUM",E226&gt;80000,"LARGE",E226&lt;15000,"SMALL"),"SMALL")</f>
        <v>SMALL</v>
      </c>
      <c r="H226" s="2" t="str">
        <f t="shared" ca="1" si="3"/>
        <v>false</v>
      </c>
      <c r="I226" s="10" cm="1" vm="899">
        <f t="array" aca="1" ref="I226" ca="1">_FV(D226,"Latitude")</f>
        <v>48.692222222222</v>
      </c>
      <c r="J226" s="10" cm="1" vm="900">
        <f t="array" aca="1" ref="J226" ca="1">_FV(D226,"Longitude")</f>
        <v>-116.3175</v>
      </c>
      <c r="K226">
        <v>64</v>
      </c>
      <c r="L226">
        <v>1741</v>
      </c>
      <c r="M226" s="2" t="s">
        <v>15</v>
      </c>
    </row>
    <row r="227" spans="1:13" x14ac:dyDescent="0.25">
      <c r="A227" s="2">
        <v>2596</v>
      </c>
      <c r="B227" t="s">
        <v>242</v>
      </c>
      <c r="C227" t="s">
        <v>239</v>
      </c>
      <c r="D227" t="e" vm="901">
        <v>#VALUE!</v>
      </c>
      <c r="E227" s="2" cm="1" vm="902">
        <f t="array" aca="1" ref="E227" ca="1">_FV(D227,"Population")</f>
        <v>54628</v>
      </c>
      <c r="F227" s="4" cm="1">
        <f t="array" aca="1" ref="F227" ca="1">_xlfn.IFS(E227&lt;2500,E227/10,AND(E227&gt;=2500,E227&lt;25000),E227/25,AND(E227&gt;=25000,E227&lt;100000),E227/50,AND(E227&gt;=100000,E227&lt;1000000),E227/100,AND(E227&gt;=1000000,E227&lt;2000000),E227/150,AND(E227&gt;=2000000,E227&lt;3000000),E227/200,E227&gt;=3000000,E227/250)</f>
        <v>1092.56</v>
      </c>
      <c r="G227" s="2" t="str" cm="1">
        <f t="array" aca="1" ref="G227" ca="1">IFERROR(_xlfn.IFS(AND(E227&lt;80000,E227&gt;15000),"MEDIUM",E227&gt;80000,"LARGE",E227&lt;15000,"SMALL"),"SMALL")</f>
        <v>MEDIUM</v>
      </c>
      <c r="H227" s="2" t="str">
        <f t="shared" ca="1" si="3"/>
        <v>false</v>
      </c>
      <c r="I227" s="10" cm="1" vm="903">
        <f t="array" aca="1" ref="I227" ca="1">_FV(D227,"Latitude")</f>
        <v>47.692777777777998</v>
      </c>
      <c r="J227" s="10" cm="1" vm="904">
        <f t="array" aca="1" ref="J227" ca="1">_FV(D227,"Longitude")</f>
        <v>-116.78</v>
      </c>
      <c r="K227">
        <v>268</v>
      </c>
      <c r="L227">
        <v>1646</v>
      </c>
      <c r="M227" s="2" t="s">
        <v>15</v>
      </c>
    </row>
    <row r="228" spans="1:13" x14ac:dyDescent="0.25">
      <c r="A228" s="2">
        <v>2627</v>
      </c>
      <c r="B228" t="s">
        <v>243</v>
      </c>
      <c r="C228" t="s">
        <v>239</v>
      </c>
      <c r="D228" t="e" vm="905">
        <v>#VALUE!</v>
      </c>
      <c r="E228" s="2" cm="1" vm="906">
        <f t="array" aca="1" ref="E228" ca="1">_FV(D228,"Population")</f>
        <v>3308</v>
      </c>
      <c r="F228" s="4" cm="1">
        <f t="array" aca="1" ref="F228" ca="1">_xlfn.IFS(E228&lt;2500,E228/10,AND(E228&gt;=2500,E228&lt;25000),E228/25,AND(E228&gt;=25000,E228&lt;100000),E228/50,AND(E228&gt;=100000,E228&lt;1000000),E228/100,AND(E228&gt;=1000000,E228&lt;2000000),E228/150,AND(E228&gt;=2000000,E228&lt;3000000),E228/200,E228&gt;=3000000,E228/250)</f>
        <v>132.32</v>
      </c>
      <c r="G228" s="2" t="str" cm="1">
        <f t="array" aca="1" ref="G228" ca="1">IFERROR(_xlfn.IFS(AND(E228&lt;80000,E228&gt;15000),"MEDIUM",E228&gt;80000,"LARGE",E228&lt;15000,"SMALL"),"SMALL")</f>
        <v>SMALL</v>
      </c>
      <c r="H228" s="2" t="str">
        <f t="shared" ca="1" si="3"/>
        <v>false</v>
      </c>
      <c r="I228" s="10" cm="1" vm="907">
        <f t="array" aca="1" ref="I228" ca="1">_FV(D228,"Latitude")</f>
        <v>45.926388888889001</v>
      </c>
      <c r="J228" s="10" cm="1" vm="908">
        <f t="array" aca="1" ref="J228" ca="1">_FV(D228,"Longitude")</f>
        <v>-116.12138888889</v>
      </c>
      <c r="K228">
        <v>630</v>
      </c>
      <c r="L228">
        <v>1781</v>
      </c>
      <c r="M228" s="2" t="s">
        <v>15</v>
      </c>
    </row>
    <row r="229" spans="1:13" x14ac:dyDescent="0.25">
      <c r="A229" s="2">
        <v>2645</v>
      </c>
      <c r="B229" t="s">
        <v>244</v>
      </c>
      <c r="C229" t="s">
        <v>239</v>
      </c>
      <c r="D229" t="e" vm="909">
        <v>#VALUE!</v>
      </c>
      <c r="E229" s="2" cm="1" vm="910">
        <f t="array" aca="1" ref="E229" ca="1">_FV(D229,"Population")</f>
        <v>2314</v>
      </c>
      <c r="F229" s="4" cm="1">
        <f t="array" aca="1" ref="F229" ca="1">_xlfn.IFS(E229&lt;2500,E229/10,AND(E229&gt;=2500,E229&lt;25000),E229/25,AND(E229&gt;=25000,E229&lt;100000),E229/50,AND(E229&gt;=100000,E229&lt;1000000),E229/100,AND(E229&gt;=1000000,E229&lt;2000000),E229/150,AND(E229&gt;=2000000,E229&lt;3000000),E229/200,E229&gt;=3000000,E229/250)</f>
        <v>231.4</v>
      </c>
      <c r="G229" s="2" t="str" cm="1">
        <f t="array" aca="1" ref="G229" ca="1">IFERROR(_xlfn.IFS(AND(E229&lt;80000,E229&gt;15000),"MEDIUM",E229&gt;80000,"LARGE",E229&lt;15000,"SMALL"),"SMALL")</f>
        <v>SMALL</v>
      </c>
      <c r="H229" s="2" t="str">
        <f t="shared" ca="1" si="3"/>
        <v>false</v>
      </c>
      <c r="I229" s="10" cm="1" vm="911">
        <f t="array" aca="1" ref="I229" ca="1">_FV(D229,"Latitude")</f>
        <v>47.5383</v>
      </c>
      <c r="J229" s="10" cm="1" vm="912">
        <f t="array" aca="1" ref="J229" ca="1">_FV(D229,"Longitude")</f>
        <v>-116.125</v>
      </c>
      <c r="K229">
        <v>300</v>
      </c>
      <c r="L229">
        <v>1780</v>
      </c>
      <c r="M229" s="2" t="s">
        <v>15</v>
      </c>
    </row>
    <row r="230" spans="1:13" x14ac:dyDescent="0.25">
      <c r="A230" s="2">
        <v>2653</v>
      </c>
      <c r="B230" t="s">
        <v>245</v>
      </c>
      <c r="C230" t="s">
        <v>239</v>
      </c>
      <c r="D230" t="e" vm="913">
        <v>#VALUE!</v>
      </c>
      <c r="E230" s="2" cm="1" vm="914">
        <f t="array" aca="1" ref="E230" ca="1">_FV(D230,"Population")</f>
        <v>34203</v>
      </c>
      <c r="F230" s="4" cm="1">
        <f t="array" aca="1" ref="F230" ca="1">_xlfn.IFS(E230&lt;2500,E230/10,AND(E230&gt;=2500,E230&lt;25000),E230/25,AND(E230&gt;=25000,E230&lt;100000),E230/50,AND(E230&gt;=100000,E230&lt;1000000),E230/100,AND(E230&gt;=1000000,E230&lt;2000000),E230/150,AND(E230&gt;=2000000,E230&lt;3000000),E230/200,E230&gt;=3000000,E230/250)</f>
        <v>684.06</v>
      </c>
      <c r="G230" s="2" t="str" cm="1">
        <f t="array" aca="1" ref="G230" ca="1">IFERROR(_xlfn.IFS(AND(E230&lt;80000,E230&gt;15000),"MEDIUM",E230&gt;80000,"LARGE",E230&lt;15000,"SMALL"),"SMALL")</f>
        <v>MEDIUM</v>
      </c>
      <c r="H230" s="2" t="str">
        <f t="shared" ca="1" si="3"/>
        <v>false</v>
      </c>
      <c r="I230" s="10" cm="1" vm="915">
        <f t="array" aca="1" ref="I230" ca="1">_FV(D230,"Latitude")</f>
        <v>46.400244999999998</v>
      </c>
      <c r="J230" s="10" cm="1" vm="916">
        <f t="array" aca="1" ref="J230" ca="1">_FV(D230,"Longitude")</f>
        <v>-117.00103</v>
      </c>
      <c r="K230">
        <v>533</v>
      </c>
      <c r="L230">
        <v>1601</v>
      </c>
      <c r="M230" s="2" t="s">
        <v>15</v>
      </c>
    </row>
    <row r="231" spans="1:13" x14ac:dyDescent="0.25">
      <c r="A231" s="2">
        <v>2658</v>
      </c>
      <c r="B231" t="s">
        <v>246</v>
      </c>
      <c r="C231" t="s">
        <v>239</v>
      </c>
      <c r="D231" t="e" vm="917">
        <v>#VALUE!</v>
      </c>
      <c r="E231" s="2" cm="1" vm="918">
        <f t="array" aca="1" ref="E231" ca="1">_FV(D231,"Population")</f>
        <v>3686</v>
      </c>
      <c r="F231" s="4" cm="1">
        <f t="array" aca="1" ref="F231" ca="1">_xlfn.IFS(E231&lt;2500,E231/10,AND(E231&gt;=2500,E231&lt;25000),E231/25,AND(E231&gt;=25000,E231&lt;100000),E231/50,AND(E231&gt;=100000,E231&lt;1000000),E231/100,AND(E231&gt;=1000000,E231&lt;2000000),E231/150,AND(E231&gt;=2000000,E231&lt;3000000),E231/200,E231&gt;=3000000,E231/250)</f>
        <v>147.44</v>
      </c>
      <c r="G231" s="2" t="str" cm="1">
        <f t="array" aca="1" ref="G231" ca="1">IFERROR(_xlfn.IFS(AND(E231&lt;80000,E231&gt;15000),"MEDIUM",E231&gt;80000,"LARGE",E231&lt;15000,"SMALL"),"SMALL")</f>
        <v>SMALL</v>
      </c>
      <c r="H231" s="2" t="str">
        <f t="shared" ca="1" si="3"/>
        <v>false</v>
      </c>
      <c r="I231" s="10" cm="1" vm="919">
        <f t="array" aca="1" ref="I231" ca="1">_FV(D231,"Latitude")</f>
        <v>44.910829999999997</v>
      </c>
      <c r="J231" s="10" cm="1" vm="920">
        <f t="array" aca="1" ref="J231" ca="1">_FV(D231,"Longitude")</f>
        <v>-116.10306</v>
      </c>
      <c r="K231">
        <v>838</v>
      </c>
      <c r="L231">
        <v>1785</v>
      </c>
      <c r="M231" s="2" t="s">
        <v>15</v>
      </c>
    </row>
    <row r="232" spans="1:13" x14ac:dyDescent="0.25">
      <c r="A232" s="2">
        <v>2660</v>
      </c>
      <c r="B232" t="s">
        <v>247</v>
      </c>
      <c r="C232" t="s">
        <v>239</v>
      </c>
      <c r="D232" t="e" vm="921">
        <v>#VALUE!</v>
      </c>
      <c r="E232" s="2" cm="1" vm="922">
        <f t="array" aca="1" ref="E232" ca="1">_FV(D232,"Population")</f>
        <v>117635</v>
      </c>
      <c r="F232" s="4" cm="1">
        <f t="array" aca="1" ref="F232" ca="1">_xlfn.IFS(E232&lt;2500,E232/10,AND(E232&gt;=2500,E232&lt;25000),E232/25,AND(E232&gt;=25000,E232&lt;100000),E232/50,AND(E232&gt;=100000,E232&lt;1000000),E232/100,AND(E232&gt;=1000000,E232&lt;2000000),E232/150,AND(E232&gt;=2000000,E232&lt;3000000),E232/200,E232&gt;=3000000,E232/250)</f>
        <v>1176.3499999999999</v>
      </c>
      <c r="G232" s="2" t="str" cm="1">
        <f t="array" aca="1" ref="G232" ca="1">IFERROR(_xlfn.IFS(AND(E232&lt;80000,E232&gt;15000),"MEDIUM",E232&gt;80000,"LARGE",E232&lt;15000,"SMALL"),"SMALL")</f>
        <v>LARGE</v>
      </c>
      <c r="H232" s="2" t="str">
        <f t="shared" ca="1" si="3"/>
        <v>false</v>
      </c>
      <c r="I232" s="10" cm="1" vm="923">
        <f t="array" aca="1" ref="I232" ca="1">_FV(D232,"Latitude")</f>
        <v>43.614166666667003</v>
      </c>
      <c r="J232" s="10" cm="1" vm="924">
        <f t="array" aca="1" ref="J232" ca="1">_FV(D232,"Longitude")</f>
        <v>-116.39888888889</v>
      </c>
      <c r="K232">
        <v>1104</v>
      </c>
      <c r="L232">
        <v>1724</v>
      </c>
      <c r="M232" s="2" t="s">
        <v>15</v>
      </c>
    </row>
    <row r="233" spans="1:13" x14ac:dyDescent="0.25">
      <c r="A233" s="2">
        <v>2663</v>
      </c>
      <c r="B233" t="s">
        <v>248</v>
      </c>
      <c r="C233" t="s">
        <v>239</v>
      </c>
      <c r="D233" t="e" vm="925">
        <v>#VALUE!</v>
      </c>
      <c r="E233" s="2" cm="1" vm="926">
        <f t="array" aca="1" ref="E233" ca="1">_FV(D233,"Population")</f>
        <v>25435</v>
      </c>
      <c r="F233" s="4" cm="1">
        <f t="array" aca="1" ref="F233" ca="1">_xlfn.IFS(E233&lt;2500,E233/10,AND(E233&gt;=2500,E233&lt;25000),E233/25,AND(E233&gt;=25000,E233&lt;100000),E233/50,AND(E233&gt;=100000,E233&lt;1000000),E233/100,AND(E233&gt;=1000000,E233&lt;2000000),E233/150,AND(E233&gt;=2000000,E233&lt;3000000),E233/200,E233&gt;=3000000,E233/250)</f>
        <v>508.7</v>
      </c>
      <c r="G233" s="2" t="str" cm="1">
        <f t="array" aca="1" ref="G233" ca="1">IFERROR(_xlfn.IFS(AND(E233&lt;80000,E233&gt;15000),"MEDIUM",E233&gt;80000,"LARGE",E233&lt;15000,"SMALL"),"SMALL")</f>
        <v>MEDIUM</v>
      </c>
      <c r="H233" s="2" t="str">
        <f t="shared" ca="1" si="3"/>
        <v>false</v>
      </c>
      <c r="I233" s="10" cm="1" vm="927">
        <f t="array" aca="1" ref="I233" ca="1">_FV(D233,"Latitude")</f>
        <v>46.731666666667003</v>
      </c>
      <c r="J233" s="10" cm="1" vm="928">
        <f t="array" aca="1" ref="J233" ca="1">_FV(D233,"Longitude")</f>
        <v>-116.99722222222</v>
      </c>
      <c r="K233">
        <v>465</v>
      </c>
      <c r="L233">
        <v>1602</v>
      </c>
      <c r="M233" s="2" t="s">
        <v>15</v>
      </c>
    </row>
    <row r="234" spans="1:13" x14ac:dyDescent="0.25">
      <c r="A234" s="2">
        <v>2668</v>
      </c>
      <c r="B234" t="s">
        <v>249</v>
      </c>
      <c r="C234" t="s">
        <v>239</v>
      </c>
      <c r="D234" t="e" vm="929">
        <v>#VALUE!</v>
      </c>
      <c r="E234" s="2" cm="1" vm="930">
        <f t="array" aca="1" ref="E234" ca="1">_FV(D234,"Population")</f>
        <v>100200</v>
      </c>
      <c r="F234" s="4" cm="1">
        <f t="array" aca="1" ref="F234" ca="1">_xlfn.IFS(E234&lt;2500,E234/10,AND(E234&gt;=2500,E234&lt;25000),E234/25,AND(E234&gt;=25000,E234&lt;100000),E234/50,AND(E234&gt;=100000,E234&lt;1000000),E234/100,AND(E234&gt;=1000000,E234&lt;2000000),E234/150,AND(E234&gt;=2000000,E234&lt;3000000),E234/200,E234&gt;=3000000,E234/250)</f>
        <v>1002</v>
      </c>
      <c r="G234" s="2" t="str" cm="1">
        <f t="array" aca="1" ref="G234" ca="1">IFERROR(_xlfn.IFS(AND(E234&lt;80000,E234&gt;15000),"MEDIUM",E234&gt;80000,"LARGE",E234&lt;15000,"SMALL"),"SMALL")</f>
        <v>LARGE</v>
      </c>
      <c r="H234" s="2" t="str">
        <f t="shared" ca="1" si="3"/>
        <v>false</v>
      </c>
      <c r="I234" s="10" cm="1" vm="931">
        <f t="array" aca="1" ref="I234" ca="1">_FV(D234,"Latitude")</f>
        <v>43.574722222222</v>
      </c>
      <c r="J234" s="10" cm="1" vm="932">
        <f t="array" aca="1" ref="J234" ca="1">_FV(D234,"Longitude")</f>
        <v>-116.56361111111001</v>
      </c>
      <c r="K234">
        <v>1112</v>
      </c>
      <c r="L234">
        <v>1690</v>
      </c>
      <c r="M234" s="2" t="s">
        <v>15</v>
      </c>
    </row>
    <row r="235" spans="1:13" x14ac:dyDescent="0.25">
      <c r="A235" s="2">
        <v>2689</v>
      </c>
      <c r="B235" t="s">
        <v>250</v>
      </c>
      <c r="C235" t="s">
        <v>239</v>
      </c>
      <c r="D235" t="e" vm="933">
        <v>#VALUE!</v>
      </c>
      <c r="E235" s="2" cm="1" vm="934">
        <f t="array" aca="1" ref="E235" ca="1">_FV(D235,"Population")</f>
        <v>38485</v>
      </c>
      <c r="F235" s="4" cm="1">
        <f t="array" aca="1" ref="F235" ca="1">_xlfn.IFS(E235&lt;2500,E235/10,AND(E235&gt;=2500,E235&lt;25000),E235/25,AND(E235&gt;=25000,E235&lt;100000),E235/50,AND(E235&gt;=100000,E235&lt;1000000),E235/100,AND(E235&gt;=1000000,E235&lt;2000000),E235/150,AND(E235&gt;=2000000,E235&lt;3000000),E235/200,E235&gt;=3000000,E235/250)</f>
        <v>769.7</v>
      </c>
      <c r="G235" s="2" t="str" cm="1">
        <f t="array" aca="1" ref="G235" ca="1">IFERROR(_xlfn.IFS(AND(E235&lt;80000,E235&gt;15000),"MEDIUM",E235&gt;80000,"LARGE",E235&lt;15000,"SMALL"),"SMALL")</f>
        <v>MEDIUM</v>
      </c>
      <c r="H235" s="2" t="str">
        <f t="shared" ca="1" si="3"/>
        <v>false</v>
      </c>
      <c r="I235" s="10" cm="1" vm="935">
        <f t="array" aca="1" ref="I235" ca="1">_FV(D235,"Latitude")</f>
        <v>47.712000000000003</v>
      </c>
      <c r="J235" s="10" cm="1" vm="936">
        <f t="array" aca="1" ref="J235" ca="1">_FV(D235,"Longitude")</f>
        <v>-116.94799999999999</v>
      </c>
      <c r="K235">
        <v>264</v>
      </c>
      <c r="L235">
        <v>1612</v>
      </c>
      <c r="M235" s="2" t="s">
        <v>15</v>
      </c>
    </row>
    <row r="236" spans="1:13" x14ac:dyDescent="0.25">
      <c r="A236" s="2">
        <v>2692</v>
      </c>
      <c r="B236" t="s">
        <v>251</v>
      </c>
      <c r="C236" t="s">
        <v>239</v>
      </c>
      <c r="D236" t="e" vm="937">
        <v>#VALUE!</v>
      </c>
      <c r="E236" s="2" cm="1" vm="938">
        <f t="array" aca="1" ref="E236" ca="1">_FV(D236,"Population")</f>
        <v>1696</v>
      </c>
      <c r="F236" s="4" cm="1">
        <f t="array" aca="1" ref="F236" ca="1">_xlfn.IFS(E236&lt;2500,E236/10,AND(E236&gt;=2500,E236&lt;25000),E236/25,AND(E236&gt;=25000,E236&lt;100000),E236/50,AND(E236&gt;=100000,E236&lt;1000000),E236/100,AND(E236&gt;=1000000,E236&lt;2000000),E236/150,AND(E236&gt;=2000000,E236&lt;3000000),E236/200,E236&gt;=3000000,E236/250)</f>
        <v>169.6</v>
      </c>
      <c r="G236" s="2" t="str" cm="1">
        <f t="array" aca="1" ref="G236" ca="1">IFERROR(_xlfn.IFS(AND(E236&lt;80000,E236&gt;15000),"MEDIUM",E236&gt;80000,"LARGE",E236&lt;15000,"SMALL"),"SMALL")</f>
        <v>SMALL</v>
      </c>
      <c r="H236" s="2" t="str">
        <f t="shared" ca="1" si="3"/>
        <v>false</v>
      </c>
      <c r="I236" s="10" cm="1" vm="939">
        <f t="array" aca="1" ref="I236" ca="1">_FV(D236,"Latitude")</f>
        <v>48.183300000000003</v>
      </c>
      <c r="J236" s="10" cm="1" vm="940">
        <f t="array" aca="1" ref="J236" ca="1">_FV(D236,"Longitude")</f>
        <v>-116.90900000000001</v>
      </c>
      <c r="K236">
        <v>168</v>
      </c>
      <c r="L236">
        <v>1620</v>
      </c>
      <c r="M236" s="2" t="s">
        <v>15</v>
      </c>
    </row>
    <row r="237" spans="1:13" x14ac:dyDescent="0.25">
      <c r="A237" s="2">
        <v>2701</v>
      </c>
      <c r="B237" t="s">
        <v>252</v>
      </c>
      <c r="C237" t="s">
        <v>239</v>
      </c>
      <c r="D237" t="e" vm="941">
        <v>#VALUE!</v>
      </c>
      <c r="E237" s="2" cm="1" vm="942">
        <f t="array" aca="1" ref="E237" ca="1">_FV(D237,"Population")</f>
        <v>8639</v>
      </c>
      <c r="F237" s="4" cm="1">
        <f t="array" aca="1" ref="F237" ca="1">_xlfn.IFS(E237&lt;2500,E237/10,AND(E237&gt;=2500,E237&lt;25000),E237/25,AND(E237&gt;=25000,E237&lt;100000),E237/50,AND(E237&gt;=100000,E237&lt;1000000),E237/100,AND(E237&gt;=1000000,E237&lt;2000000),E237/150,AND(E237&gt;=2000000,E237&lt;3000000),E237/200,E237&gt;=3000000,E237/250)</f>
        <v>345.56</v>
      </c>
      <c r="G237" s="2" t="str" cm="1">
        <f t="array" aca="1" ref="G237" ca="1">IFERROR(_xlfn.IFS(AND(E237&lt;80000,E237&gt;15000),"MEDIUM",E237&gt;80000,"LARGE",E237&lt;15000,"SMALL"),"SMALL")</f>
        <v>SMALL</v>
      </c>
      <c r="H237" s="2" t="str">
        <f t="shared" ca="1" si="3"/>
        <v>false</v>
      </c>
      <c r="I237" s="10" cm="1" vm="943">
        <f t="array" aca="1" ref="I237" ca="1">_FV(D237,"Latitude")</f>
        <v>48.276590300000002</v>
      </c>
      <c r="J237" s="10" cm="1" vm="944">
        <f t="array" aca="1" ref="J237" ca="1">_FV(D237,"Longitude")</f>
        <v>-116.55324760000001</v>
      </c>
      <c r="K237">
        <v>149</v>
      </c>
      <c r="L237">
        <v>1693</v>
      </c>
      <c r="M237" s="2" t="s">
        <v>15</v>
      </c>
    </row>
    <row r="238" spans="1:13" x14ac:dyDescent="0.25">
      <c r="A238" s="2">
        <v>2727</v>
      </c>
      <c r="B238" t="s">
        <v>253</v>
      </c>
      <c r="C238" t="s">
        <v>239</v>
      </c>
      <c r="D238" t="e" vm="945">
        <v>#VALUE!</v>
      </c>
      <c r="E238" s="2" cm="1" vm="946">
        <f t="array" aca="1" ref="E238" ca="1">_FV(D238,"Population")</f>
        <v>253</v>
      </c>
      <c r="F238" s="4" cm="1">
        <f t="array" aca="1" ref="F238" ca="1">_xlfn.IFS(E238&lt;2500,E238/10,AND(E238&gt;=2500,E238&lt;25000),E238/25,AND(E238&gt;=25000,E238&lt;100000),E238/50,AND(E238&gt;=100000,E238&lt;1000000),E238/100,AND(E238&gt;=1000000,E238&lt;2000000),E238/150,AND(E238&gt;=2000000,E238&lt;3000000),E238/200,E238&gt;=3000000,E238/250)</f>
        <v>25.3</v>
      </c>
      <c r="G238" s="2" t="str" cm="1">
        <f t="array" aca="1" ref="G238" ca="1">IFERROR(_xlfn.IFS(AND(E238&lt;80000,E238&gt;15000),"MEDIUM",E238&gt;80000,"LARGE",E238&lt;15000,"SMALL"),"SMALL")</f>
        <v>SMALL</v>
      </c>
      <c r="H238" s="2" t="str">
        <f t="shared" ca="1" si="3"/>
        <v>false</v>
      </c>
      <c r="I238" s="10" cm="1" vm="947">
        <f t="array" aca="1" ref="I238" ca="1">_FV(D238,"Latitude")</f>
        <v>47.3992</v>
      </c>
      <c r="J238" s="10" cm="1" vm="948">
        <f t="array" aca="1" ref="J238" ca="1">_FV(D238,"Longitude")</f>
        <v>-116.919</v>
      </c>
      <c r="K238">
        <v>328</v>
      </c>
      <c r="L238">
        <v>1618</v>
      </c>
      <c r="M238" s="2" t="s">
        <v>15</v>
      </c>
    </row>
    <row r="239" spans="1:13" x14ac:dyDescent="0.25">
      <c r="A239" s="2">
        <v>2729</v>
      </c>
      <c r="B239" t="s">
        <v>254</v>
      </c>
      <c r="C239" t="s">
        <v>255</v>
      </c>
      <c r="D239" t="e" vm="949">
        <v>#VALUE!</v>
      </c>
      <c r="E239" s="2" cm="1" vm="950">
        <f t="array" aca="1" ref="E239" ca="1">_FV(D239,"Population")</f>
        <v>4944</v>
      </c>
      <c r="F239" s="4" cm="1">
        <f t="array" aca="1" ref="F239" ca="1">_xlfn.IFS(E239&lt;2500,E239/10,AND(E239&gt;=2500,E239&lt;25000),E239/25,AND(E239&gt;=25000,E239&lt;100000),E239/50,AND(E239&gt;=100000,E239&lt;1000000),E239/100,AND(E239&gt;=1000000,E239&lt;2000000),E239/150,AND(E239&gt;=2000000,E239&lt;3000000),E239/200,E239&gt;=3000000,E239/250)</f>
        <v>197.76</v>
      </c>
      <c r="G239" s="2" t="str" cm="1">
        <f t="array" aca="1" ref="G239" ca="1">IFERROR(_xlfn.IFS(AND(E239&lt;80000,E239&gt;15000),"MEDIUM",E239&gt;80000,"LARGE",E239&lt;15000,"SMALL"),"SMALL")</f>
        <v>SMALL</v>
      </c>
      <c r="H239" s="2" t="str">
        <f t="shared" ca="1" si="3"/>
        <v>false</v>
      </c>
      <c r="I239" s="10" cm="1" vm="951">
        <f t="array" aca="1" ref="I239" ca="1">_FV(D239,"Latitude")</f>
        <v>48.778694444444</v>
      </c>
      <c r="J239" s="10" cm="1" vm="952">
        <f t="array" aca="1" ref="J239" ca="1">_FV(D239,"Longitude")</f>
        <v>-123.70786111111001</v>
      </c>
      <c r="K239">
        <v>46</v>
      </c>
      <c r="L239">
        <v>227</v>
      </c>
      <c r="M239" s="2" t="s">
        <v>15</v>
      </c>
    </row>
    <row r="240" spans="1:13" x14ac:dyDescent="0.25">
      <c r="A240" s="2">
        <v>2730</v>
      </c>
      <c r="B240" t="s">
        <v>256</v>
      </c>
      <c r="C240" t="s">
        <v>255</v>
      </c>
      <c r="D240" t="e" vm="953">
        <v>#VALUE!</v>
      </c>
      <c r="E240" s="2" cm="1" vm="954">
        <f t="array" aca="1" ref="E240" ca="1">_FV(D240,"Population")</f>
        <v>13001</v>
      </c>
      <c r="F240" s="4" cm="1">
        <f t="array" aca="1" ref="F240" ca="1">_xlfn.IFS(E240&lt;2500,E240/10,AND(E240&gt;=2500,E240&lt;25000),E240/25,AND(E240&gt;=25000,E240&lt;100000),E240/50,AND(E240&gt;=100000,E240&lt;1000000),E240/100,AND(E240&gt;=1000000,E240&lt;2000000),E240/150,AND(E240&gt;=2000000,E240&lt;3000000),E240/200,E240&gt;=3000000,E240/250)</f>
        <v>520.04</v>
      </c>
      <c r="G240" s="2" t="str" cm="1">
        <f t="array" aca="1" ref="G240" ca="1">IFERROR(_xlfn.IFS(AND(E240&lt;80000,E240&gt;15000),"MEDIUM",E240&gt;80000,"LARGE",E240&lt;15000,"SMALL"),"SMALL")</f>
        <v>SMALL</v>
      </c>
      <c r="H240" s="2" t="str">
        <f t="shared" ca="1" si="3"/>
        <v>false</v>
      </c>
      <c r="I240" s="10" cm="1" vm="955">
        <f t="array" aca="1" ref="I240" ca="1">_FV(D240,"Latitude")</f>
        <v>48.376100000000001</v>
      </c>
      <c r="J240" s="10" cm="1" vm="956">
        <f t="array" aca="1" ref="J240" ca="1">_FV(D240,"Longitude")</f>
        <v>-123.738</v>
      </c>
      <c r="K240">
        <v>128</v>
      </c>
      <c r="L240">
        <v>221</v>
      </c>
      <c r="M240" s="2" t="s">
        <v>15</v>
      </c>
    </row>
    <row r="241" spans="1:13" x14ac:dyDescent="0.25">
      <c r="A241" s="2">
        <v>2731</v>
      </c>
      <c r="B241" t="s">
        <v>257</v>
      </c>
      <c r="C241" t="s">
        <v>255</v>
      </c>
      <c r="D241" t="e" vm="957">
        <v>#VALUE!</v>
      </c>
      <c r="E241" s="2" cm="1" vm="958">
        <f t="array" aca="1" ref="E241" ca="1">_FV(D241,"Population")</f>
        <v>91867</v>
      </c>
      <c r="F241" s="4" cm="1">
        <f t="array" aca="1" ref="F241" ca="1">_xlfn.IFS(E241&lt;2500,E241/10,AND(E241&gt;=2500,E241&lt;25000),E241/25,AND(E241&gt;=25000,E241&lt;100000),E241/50,AND(E241&gt;=100000,E241&lt;1000000),E241/100,AND(E241&gt;=1000000,E241&lt;2000000),E241/150,AND(E241&gt;=2000000,E241&lt;3000000),E241/200,E241&gt;=3000000,E241/250)</f>
        <v>1837.34</v>
      </c>
      <c r="G241" s="2" t="str" cm="1">
        <f t="array" aca="1" ref="G241" ca="1">IFERROR(_xlfn.IFS(AND(E241&lt;80000,E241&gt;15000),"MEDIUM",E241&gt;80000,"LARGE",E241&lt;15000,"SMALL"),"SMALL")</f>
        <v>LARGE</v>
      </c>
      <c r="H241" s="2" t="str">
        <f t="shared" ca="1" si="3"/>
        <v>false</v>
      </c>
      <c r="I241" s="10" cm="1" vm="959">
        <f t="array" aca="1" ref="I241" ca="1">_FV(D241,"Latitude")</f>
        <v>48.422150999999999</v>
      </c>
      <c r="J241" s="10" cm="1" vm="960">
        <f t="array" aca="1" ref="J241" ca="1">_FV(D241,"Longitude")</f>
        <v>-123.3657</v>
      </c>
      <c r="K241">
        <v>119</v>
      </c>
      <c r="L241">
        <v>297</v>
      </c>
      <c r="M241" s="2" t="s">
        <v>15</v>
      </c>
    </row>
    <row r="242" spans="1:13" x14ac:dyDescent="0.25">
      <c r="A242" s="2">
        <v>2732</v>
      </c>
      <c r="B242" t="s">
        <v>258</v>
      </c>
      <c r="C242" t="s">
        <v>259</v>
      </c>
      <c r="D242" t="e" vm="961">
        <v>#VALUE!</v>
      </c>
      <c r="E242" s="2" cm="1" vm="962">
        <f t="array" aca="1" ref="E242" ca="1">_FV(D242,"Population")</f>
        <v>557430</v>
      </c>
      <c r="F242" s="4" cm="1">
        <f t="array" aca="1" ref="F242" ca="1">_xlfn.IFS(E242&lt;2500,E242/10,AND(E242&gt;=2500,E242&lt;25000),E242/25,AND(E242&gt;=25000,E242&lt;100000),E242/50,AND(E242&gt;=100000,E242&lt;1000000),E242/100,AND(E242&gt;=1000000,E242&lt;2000000),E242/150,AND(E242&gt;=2000000,E242&lt;3000000),E242/200,E242&gt;=3000000,E242/250)</f>
        <v>5574.3</v>
      </c>
      <c r="G242" s="2" t="str" cm="1">
        <f t="array" aca="1" ref="G242" ca="1">IFERROR(_xlfn.IFS(AND(E242&lt;80000,E242&gt;15000),"MEDIUM",E242&gt;80000,"LARGE",E242&lt;15000,"SMALL"),"SMALL")</f>
        <v>LARGE</v>
      </c>
      <c r="H242" s="2" t="str">
        <f t="shared" ca="1" si="3"/>
        <v>true</v>
      </c>
      <c r="I242" s="10" cm="1" vm="963">
        <f t="array" aca="1" ref="I242" ca="1">_FV(D242,"Latitude")</f>
        <v>31.857777777778001</v>
      </c>
      <c r="J242" s="10" cm="1" vm="964">
        <f t="array" aca="1" ref="J242" ca="1">_FV(D242,"Longitude")</f>
        <v>-116.60583333333</v>
      </c>
      <c r="K242">
        <v>3511</v>
      </c>
      <c r="L242">
        <v>1682</v>
      </c>
      <c r="M242" s="2" t="s">
        <v>15</v>
      </c>
    </row>
    <row r="243" spans="1:13" x14ac:dyDescent="0.25">
      <c r="A243" s="2">
        <v>2733</v>
      </c>
      <c r="B243" t="s">
        <v>260</v>
      </c>
      <c r="C243" t="s">
        <v>259</v>
      </c>
      <c r="D243" t="e" vm="965">
        <v>#VALUE!</v>
      </c>
      <c r="E243" s="2" cm="1" vm="966">
        <f t="array" aca="1" ref="E243" ca="1">_FV(D243,"Population")</f>
        <v>16294</v>
      </c>
      <c r="F243" s="4" cm="1">
        <f t="array" aca="1" ref="F243" ca="1">_xlfn.IFS(E243&lt;2500,E243/10,AND(E243&gt;=2500,E243&lt;25000),E243/25,AND(E243&gt;=25000,E243&lt;100000),E243/50,AND(E243&gt;=100000,E243&lt;1000000),E243/100,AND(E243&gt;=1000000,E243&lt;2000000),E243/150,AND(E243&gt;=2000000,E243&lt;3000000),E243/200,E243&gt;=3000000,E243/250)</f>
        <v>651.76</v>
      </c>
      <c r="G243" s="2" t="str" cm="1">
        <f t="array" aca="1" ref="G243" ca="1">IFERROR(_xlfn.IFS(AND(E243&lt;80000,E243&gt;15000),"MEDIUM",E243&gt;80000,"LARGE",E243&lt;15000,"SMALL"),"SMALL")</f>
        <v>MEDIUM</v>
      </c>
      <c r="H243" s="2" t="str">
        <f t="shared" ca="1" si="3"/>
        <v>false</v>
      </c>
      <c r="I243" s="10" cm="1" vm="967">
        <f t="array" aca="1" ref="I243" ca="1">_FV(D243,"Latitude")</f>
        <v>30.560300000000002</v>
      </c>
      <c r="J243" s="10" cm="1" vm="968">
        <f t="array" aca="1" ref="J243" ca="1">_FV(D243,"Longitude")</f>
        <v>-115.94199999999999</v>
      </c>
      <c r="K243">
        <v>3777</v>
      </c>
      <c r="L243">
        <v>1818</v>
      </c>
      <c r="M243" s="2" t="s">
        <v>15</v>
      </c>
    </row>
    <row r="244" spans="1:13" x14ac:dyDescent="0.25">
      <c r="A244" s="2">
        <v>2734</v>
      </c>
      <c r="B244" t="s">
        <v>261</v>
      </c>
      <c r="C244" t="s">
        <v>259</v>
      </c>
      <c r="D244" t="e" vm="969">
        <v>#VALUE!</v>
      </c>
      <c r="E244" s="2" cm="1" vm="970">
        <f t="array" aca="1" ref="E244" ca="1">_FV(D244,"Population")</f>
        <v>1034224</v>
      </c>
      <c r="F244" s="4" cm="1">
        <f t="array" aca="1" ref="F244" ca="1">_xlfn.IFS(E244&lt;2500,E244/10,AND(E244&gt;=2500,E244&lt;25000),E244/25,AND(E244&gt;=25000,E244&lt;100000),E244/50,AND(E244&gt;=100000,E244&lt;1000000),E244/100,AND(E244&gt;=1000000,E244&lt;2000000),E244/150,AND(E244&gt;=2000000,E244&lt;3000000),E244/200,E244&gt;=3000000,E244/250)</f>
        <v>6894.8266666666668</v>
      </c>
      <c r="G244" s="2" t="str" cm="1">
        <f t="array" aca="1" ref="G244" ca="1">IFERROR(_xlfn.IFS(AND(E244&lt;80000,E244&gt;15000),"MEDIUM",E244&gt;80000,"LARGE",E244&lt;15000,"SMALL"),"SMALL")</f>
        <v>LARGE</v>
      </c>
      <c r="H244" s="2" t="str">
        <f t="shared" ca="1" si="3"/>
        <v>true</v>
      </c>
      <c r="I244" s="10" cm="1" vm="971">
        <f t="array" aca="1" ref="I244" ca="1">_FV(D244,"Latitude")</f>
        <v>32.663333333333</v>
      </c>
      <c r="J244" s="10" cm="1" vm="972">
        <f t="array" aca="1" ref="J244" ca="1">_FV(D244,"Longitude")</f>
        <v>-115.46777777778</v>
      </c>
      <c r="K244">
        <v>3346</v>
      </c>
      <c r="L244">
        <v>1915</v>
      </c>
      <c r="M244" s="2" t="s">
        <v>15</v>
      </c>
    </row>
    <row r="245" spans="1:13" x14ac:dyDescent="0.25">
      <c r="A245" s="2">
        <v>2735</v>
      </c>
      <c r="B245" t="s">
        <v>262</v>
      </c>
      <c r="C245" t="s">
        <v>259</v>
      </c>
      <c r="D245" t="e" vm="973">
        <v>#VALUE!</v>
      </c>
      <c r="E245" s="2" cm="1" vm="974">
        <f t="array" aca="1" ref="E245" ca="1">_FV(D245,"Population")</f>
        <v>100660</v>
      </c>
      <c r="F245" s="4" cm="1">
        <f t="array" aca="1" ref="F245" ca="1">_xlfn.IFS(E245&lt;2500,E245/10,AND(E245&gt;=2500,E245&lt;25000),E245/25,AND(E245&gt;=25000,E245&lt;100000),E245/50,AND(E245&gt;=100000,E245&lt;1000000),E245/100,AND(E245&gt;=1000000,E245&lt;2000000),E245/150,AND(E245&gt;=2000000,E245&lt;3000000),E245/200,E245&gt;=3000000,E245/250)</f>
        <v>1006.6</v>
      </c>
      <c r="G245" s="2" t="str" cm="1">
        <f t="array" aca="1" ref="G245" ca="1">IFERROR(_xlfn.IFS(AND(E245&lt;80000,E245&gt;15000),"MEDIUM",E245&gt;80000,"LARGE",E245&lt;15000,"SMALL"),"SMALL")</f>
        <v>LARGE</v>
      </c>
      <c r="H245" s="2" t="str">
        <f t="shared" ca="1" si="3"/>
        <v>false</v>
      </c>
      <c r="I245" s="10" cm="1" vm="975">
        <f t="array" aca="1" ref="I245" ca="1">_FV(D245,"Latitude")</f>
        <v>32.363611111111098</v>
      </c>
      <c r="J245" s="10" cm="1" vm="976">
        <f t="array" aca="1" ref="J245" ca="1">_FV(D245,"Longitude")</f>
        <v>-117.054444444444</v>
      </c>
      <c r="K245">
        <v>3408</v>
      </c>
      <c r="L245">
        <v>1590</v>
      </c>
      <c r="M245" s="2" t="s">
        <v>15</v>
      </c>
    </row>
    <row r="246" spans="1:13" x14ac:dyDescent="0.25">
      <c r="A246" s="2">
        <v>2736</v>
      </c>
      <c r="B246" s="7" t="s">
        <v>263</v>
      </c>
      <c r="C246" t="s">
        <v>259</v>
      </c>
      <c r="D246" s="6" t="e" vm="977">
        <v>#VALUE!</v>
      </c>
      <c r="E246" s="2" cm="1" vm="978">
        <f t="array" aca="1" ref="E246" ca="1">_FV(D246,"Population")</f>
        <v>17143</v>
      </c>
      <c r="F246" s="4" cm="1">
        <f t="array" aca="1" ref="F246" ca="1">_xlfn.IFS(E246&lt;2500,E246/10,AND(E246&gt;=2500,E246&lt;25000),E246/25,AND(E246&gt;=25000,E246&lt;100000),E246/50,AND(E246&gt;=100000,E246&lt;1000000),E246/100,AND(E246&gt;=1000000,E246&lt;2000000),E246/150,AND(E246&gt;=2000000,E246&lt;3000000),E246/200,E246&gt;=3000000,E246/250)</f>
        <v>685.72</v>
      </c>
      <c r="G246" s="2" t="str" cm="1">
        <f t="array" aca="1" ref="G246" ca="1">IFERROR(_xlfn.IFS(AND(E246&lt;80000,E246&gt;15000),"MEDIUM",E246&gt;80000,"LARGE",E246&lt;15000,"SMALL"),"SMALL")</f>
        <v>MEDIUM</v>
      </c>
      <c r="H246" s="2" t="str">
        <f t="shared" ca="1" si="3"/>
        <v>false</v>
      </c>
      <c r="I246" s="10" cm="1" vm="979">
        <f t="array" aca="1" ref="I246" ca="1">_FV(D246,"Latitude")</f>
        <v>31.0275</v>
      </c>
      <c r="J246" s="10" cm="1" vm="980">
        <f t="array" aca="1" ref="J246" ca="1">_FV(D246,"Longitude")</f>
        <v>-114.83527777777999</v>
      </c>
      <c r="K246" s="7">
        <v>3703</v>
      </c>
      <c r="L246" s="7">
        <v>2031</v>
      </c>
      <c r="M246" s="2" t="s">
        <v>15</v>
      </c>
    </row>
    <row r="247" spans="1:13" x14ac:dyDescent="0.25">
      <c r="A247" s="2">
        <v>2737</v>
      </c>
      <c r="B247" t="s">
        <v>264</v>
      </c>
      <c r="C247" t="s">
        <v>259</v>
      </c>
      <c r="D247" t="e" vm="981">
        <v>#VALUE!</v>
      </c>
      <c r="E247" s="2" cm="1" vm="982">
        <f t="array" aca="1" ref="E247" ca="1">_FV(D247,"Population")</f>
        <v>81059</v>
      </c>
      <c r="F247" s="4" cm="1">
        <f t="array" aca="1" ref="F247" ca="1">_xlfn.IFS(E247&lt;2500,E247/10,AND(E247&gt;=2500,E247&lt;25000),E247/25,AND(E247&gt;=25000,E247&lt;100000),E247/50,AND(E247&gt;=100000,E247&lt;1000000),E247/100,AND(E247&gt;=1000000,E247&lt;2000000),E247/150,AND(E247&gt;=2000000,E247&lt;3000000),E247/200,E247&gt;=3000000,E247/250)</f>
        <v>1621.18</v>
      </c>
      <c r="G247" s="2" t="str" cm="1">
        <f t="array" aca="1" ref="G247" ca="1">IFERROR(_xlfn.IFS(AND(E247&lt;80000,E247&gt;15000),"MEDIUM",E247&gt;80000,"LARGE",E247&lt;15000,"SMALL"),"SMALL")</f>
        <v>LARGE</v>
      </c>
      <c r="H247" s="2" t="str">
        <f t="shared" ca="1" si="3"/>
        <v>false</v>
      </c>
      <c r="I247" s="10" cm="1" vm="983">
        <f t="array" aca="1" ref="I247" ca="1">_FV(D247,"Latitude")</f>
        <v>32.572777777777802</v>
      </c>
      <c r="J247" s="10" cm="1" vm="984">
        <f t="array" aca="1" ref="J247" ca="1">_FV(D247,"Longitude")</f>
        <v>-116.62666666666701</v>
      </c>
      <c r="K247">
        <v>3365</v>
      </c>
      <c r="L247">
        <v>1678</v>
      </c>
      <c r="M247" s="2" t="s">
        <v>15</v>
      </c>
    </row>
    <row r="248" spans="1:13" x14ac:dyDescent="0.25">
      <c r="A248" s="2">
        <v>2738</v>
      </c>
      <c r="B248" t="s">
        <v>265</v>
      </c>
      <c r="C248" t="s">
        <v>259</v>
      </c>
      <c r="D248" t="e" vm="985">
        <v>#VALUE!</v>
      </c>
      <c r="E248" s="2" cm="1" vm="986">
        <f t="array" aca="1" ref="E248" ca="1">_FV(D248,"Population")</f>
        <v>1964788</v>
      </c>
      <c r="F248" s="4" cm="1">
        <f t="array" aca="1" ref="F248" ca="1">_xlfn.IFS(E248&lt;2500,E248/10,AND(E248&gt;=2500,E248&lt;25000),E248/25,AND(E248&gt;=25000,E248&lt;100000),E248/50,AND(E248&gt;=100000,E248&lt;1000000),E248/100,AND(E248&gt;=1000000,E248&lt;2000000),E248/150,AND(E248&gt;=2000000,E248&lt;3000000),E248/200,E248&gt;=3000000,E248/250)</f>
        <v>13098.586666666666</v>
      </c>
      <c r="G248" s="2" t="str" cm="1">
        <f t="array" aca="1" ref="G248" ca="1">IFERROR(_xlfn.IFS(AND(E248&lt;80000,E248&gt;15000),"MEDIUM",E248&gt;80000,"LARGE",E248&lt;15000,"SMALL"),"SMALL")</f>
        <v>LARGE</v>
      </c>
      <c r="H248" s="2" t="str">
        <f t="shared" ca="1" si="3"/>
        <v>true</v>
      </c>
      <c r="I248" s="10" cm="1" vm="987">
        <f t="array" aca="1" ref="I248" ca="1">_FV(D248,"Latitude")</f>
        <v>32.536447000000003</v>
      </c>
      <c r="J248" s="10" cm="1" vm="988">
        <f t="array" aca="1" ref="J248" ca="1">_FV(D248,"Longitude")</f>
        <v>-117.037155</v>
      </c>
      <c r="K248">
        <v>3372</v>
      </c>
      <c r="L248">
        <v>1594</v>
      </c>
      <c r="M248" s="2" t="s">
        <v>15</v>
      </c>
    </row>
  </sheetData>
  <conditionalFormatting sqref="B2:B248">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dc:creator>
  <cp:lastModifiedBy>Marc Olds</cp:lastModifiedBy>
  <dcterms:created xsi:type="dcterms:W3CDTF">2015-06-05T18:17:20Z</dcterms:created>
  <dcterms:modified xsi:type="dcterms:W3CDTF">2024-12-27T06:43:30Z</dcterms:modified>
</cp:coreProperties>
</file>